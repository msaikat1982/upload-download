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ra DS Impact" sheetId="1" state="visible" r:id="rId3"/>
  </sheets>
  <definedNames>
    <definedName function="false" hidden="false" localSheetId="0" name="_xlnm.Print_Area" vbProcedure="false">'Entra DS Impact'!$A$1:$L$74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<sst xmlns="http://schemas.openxmlformats.org/spreadsheetml/2006/main" count="222" uniqueCount="169">
  <si>
    <t xml:space="preserve">Entra ID Domain Services - Impact Assessment (Waves 1-4)</t>
  </si>
  <si>
    <t xml:space="preserve">GEHA Data Centre Exit | First-cut estimate | Prepared by Saikat Majumdar, CitiusTech | 21 October 2026 | Draft v0.1</t>
  </si>
  <si>
    <t xml:space="preserve">Entra ID vs Entra Domain Services</t>
  </si>
  <si>
    <t xml:space="preserve">Entra ID</t>
  </si>
  <si>
    <t xml:space="preserve">Entra Domain Services</t>
  </si>
  <si>
    <t xml:space="preserve">What it is</t>
  </si>
  <si>
    <t xml:space="preserve">Cloud identity provider (already in use at GEHA)</t>
  </si>
  <si>
    <t xml:space="preserve">Managed AD-compatible domain, run by Microsoft, built from Entra ID</t>
  </si>
  <si>
    <t xml:space="preserve">Protocols</t>
  </si>
  <si>
    <t xml:space="preserve">SAML, OIDC, OAuth</t>
  </si>
  <si>
    <t xml:space="preserve">Kerberos, NTLM, LDAP / LDAPS</t>
  </si>
  <si>
    <t xml:space="preserve">Device model</t>
  </si>
  <si>
    <t xml:space="preserve">Entra joined; managed by Intune</t>
  </si>
  <si>
    <t xml:space="preserve">Domain-joined servers; managed by Group Policy</t>
  </si>
  <si>
    <t xml:space="preserve">Admin rights</t>
  </si>
  <si>
    <t xml:space="preserve">Entra roles</t>
  </si>
  <si>
    <t xml:space="preserve">AAD DC Administrators only; no Domain or Enterprise Admin; no schema changes</t>
  </si>
  <si>
    <t xml:space="preserve">Best fit</t>
  </si>
  <si>
    <t xml:space="preserve">SaaS apps, web SSO, end-user devices</t>
  </si>
  <si>
    <t xml:space="preserve">Lift-and-shift servers and legacy apps that need a domain</t>
  </si>
  <si>
    <t xml:space="preserve">Effort basis</t>
  </si>
  <si>
    <t xml:space="preserve">Hours cover Entra DS-specific work only, over and above the migration effort already in each playbook. (a) Configuration: domain join, LDAPS re-pointing, GPOs, service accounts, SPNs, delegation. (b) Testing: sign-in for each user group, service and batch accounts, GPO application, functional smoke tests. T-shirt size is driven by the high end of the range:  XS up to 8 hrs  |  S 8-24  |  M 24-60  |  L 60-120  |  XL 120+</t>
  </si>
  <si>
    <t xml:space="preserve">Application impact list (Waves 1-4)</t>
  </si>
  <si>
    <t xml:space="preserve">#</t>
  </si>
  <si>
    <t xml:space="preserve">Application</t>
  </si>
  <si>
    <t xml:space="preserve">Wave</t>
  </si>
  <si>
    <t xml:space="preserve">Target (per playbook)</t>
  </si>
  <si>
    <t xml:space="preserve">Directory need</t>
  </si>
  <si>
    <t xml:space="preserve">Why (from playbook evidence)</t>
  </si>
  <si>
    <t xml:space="preserve">Config hrs (low)</t>
  </si>
  <si>
    <t xml:space="preserve">Config hrs (high)</t>
  </si>
  <si>
    <t xml:space="preserve">Config size</t>
  </si>
  <si>
    <t xml:space="preserve">Test hrs (low)</t>
  </si>
  <si>
    <t xml:space="preserve">Test hrs (high)</t>
  </si>
  <si>
    <t xml:space="preserve">Test size</t>
  </si>
  <si>
    <t xml:space="preserve">CyberArk PAS</t>
  </si>
  <si>
    <t xml:space="preserve">W1</t>
  </si>
  <si>
    <t xml:space="preserve">Rehost to Azure IaaS</t>
  </si>
  <si>
    <t xml:space="preserve">Entra DS - High</t>
  </si>
  <si>
    <t xml:space="preserve">Vault directory mapping uses LDAP 389 / GC 3268 today; PVWA, CPM and PSM are domain-joined; PSM relies on hardening GPOs; CPM rotates domain accounts. Re-point mapping to LDAPS on Entra DS, rebuild hardening GPOs in a custom OU, recreate vault admin groups and service accounts.</t>
  </si>
  <si>
    <t xml:space="preserve">Turbonomic</t>
  </si>
  <si>
    <t xml:space="preserve">Lift and shift / AKS (sources differ)</t>
  </si>
  <si>
    <t xml:space="preserve">Entra ID only</t>
  </si>
  <si>
    <t xml:space="preserve">UI login is LDAP/AD today. Move UI sign-in to Entra ID SAML; no domain join needed. LDAPS to Entra DS is the fallback if SAML is not taken up.</t>
  </si>
  <si>
    <t xml:space="preserve">INTERNAL PKI</t>
  </si>
  <si>
    <t xml:space="preserve">Rehost (AD CS)</t>
  </si>
  <si>
    <t xml:space="preserve">Decision needed</t>
  </si>
  <si>
    <t xml:space="preserve">Enterprise CA publishes templates, CDP/AIA and NTAuth into the AD configuration partition and drives auto-enrolment through GPO. This needs Enterprise Admin rights, which Entra DS does not grant. Options: a small self-managed AD DS in Azure for PKI only, or a cloud PKI. Figure shown is a placeholder until the option is chosen.</t>
  </si>
  <si>
    <t xml:space="preserve">Utility</t>
  </si>
  <si>
    <t xml:space="preserve">Rehost (8 jump boxes, WS2025)</t>
  </si>
  <si>
    <t xml:space="preserve">Entra DS - Low</t>
  </si>
  <si>
    <t xml:space="preserve">Shared admin jump boxes running support tools and scheduled jobs; LDAP 389 observed. Needs domain join, admin GPO and scheduled-task accounts. Could be Entra ID joined instead if none of the tools need Kerberos.</t>
  </si>
  <si>
    <t xml:space="preserve">Venafi</t>
  </si>
  <si>
    <t xml:space="preserve">Repurchase - Venafi SaaS</t>
  </si>
  <si>
    <t xml:space="preserve">Already on Entra ID SSO; on-prem hosts retire. Indirect link only: the Microsoft CA connector follows the PKI decision.</t>
  </si>
  <si>
    <t xml:space="preserve">Archer</t>
  </si>
  <si>
    <t xml:space="preserve">Repurchase - Archer SaaS</t>
  </si>
  <si>
    <t xml:space="preserve">SSO and LDAP today; SaaS target signs in through Entra ID SAML. LDAP sync does not carry over to SaaS.</t>
  </si>
  <si>
    <t xml:space="preserve">OnBase</t>
  </si>
  <si>
    <t xml:space="preserve">Replatform - Azure VMs + SQL MI</t>
  </si>
  <si>
    <t xml:space="preserve">30+ app, web, processing and full-text servers domain-joined; user authentication method not yet confirmed (IWA or LDAP likely); service accounts; repository on Azure Files over SMB needs Entra DS identity.</t>
  </si>
  <si>
    <t xml:space="preserve">Veracore</t>
  </si>
  <si>
    <t xml:space="preserve">W2</t>
  </si>
  <si>
    <t xml:space="preserve">Repurchase - Veracore SaaS</t>
  </si>
  <si>
    <t xml:space="preserve">AD authentication today. SaaS moves to Entra ID SSO if the vendor supports it, otherwise vendor-local accounts.</t>
  </si>
  <si>
    <t xml:space="preserve">Cohesity</t>
  </si>
  <si>
    <t xml:space="preserve">Repurchase (SaaS)</t>
  </si>
  <si>
    <t xml:space="preserve">Console via Entra ID SSO. Minor touch: backup of domain-joined VMs and SMB shares needs a backup service account created in Entra DS.</t>
  </si>
  <si>
    <t xml:space="preserve">LiteSpeed</t>
  </si>
  <si>
    <t xml:space="preserve">Replace</t>
  </si>
  <si>
    <t xml:space="preserve">Tool is replaced, so no direct impact. The SQL estate it protects (74 servers) is fully domain-joined with Windows Integrated Auth; that load is counted against each database application.</t>
  </si>
  <si>
    <t xml:space="preserve">UiPath</t>
  </si>
  <si>
    <t xml:space="preserve">ReArchitect - UiPath cloud robots</t>
  </si>
  <si>
    <t xml:space="preserve">Entra DS - Medium</t>
  </si>
  <si>
    <t xml:space="preserve">Orchestrator is already in Automation Cloud on Entra ID. 14 prod / 39 non-prod unattended robots log on with domain accounts and drive domain-joined apps and shares. Robot accounts and credential assets must be recreated against Entra DS, with a network path from the robot hosts.</t>
  </si>
  <si>
    <t xml:space="preserve">Cyber Recruiter</t>
  </si>
  <si>
    <t xml:space="preserve">Rehost (IIS + SQL, audit data)</t>
  </si>
  <si>
    <t xml:space="preserve">Single IIS host; domain join and Windows authentication for audit users.</t>
  </si>
  <si>
    <t xml:space="preserve">Deltek</t>
  </si>
  <si>
    <t xml:space="preserve">Replatform (decommissioned, data kept)</t>
  </si>
  <si>
    <t xml:space="preserve">Database on SQLMAIN shared instance; read-only access group and any retained host need domain join.</t>
  </si>
  <si>
    <t xml:space="preserve">GEHA Toolbox</t>
  </si>
  <si>
    <t xml:space="preserve">Retire</t>
  </si>
  <si>
    <t xml:space="preserve">None</t>
  </si>
  <si>
    <t xml:space="preserve">Retired; no directory work.</t>
  </si>
  <si>
    <t xml:space="preserve">GEHADATA</t>
  </si>
  <si>
    <t xml:space="preserve">Rehost vs Replatform (conflict)</t>
  </si>
  <si>
    <t xml:space="preserve">Database on SQLMAIN shared instance; Windows logins move with the instance. If it goes to Azure SQL PaaS, Entra ID authentication replaces this.</t>
  </si>
  <si>
    <t xml:space="preserve">NETA</t>
  </si>
  <si>
    <t xml:space="preserve">Rehost (SQLRPT shared instance)</t>
  </si>
  <si>
    <t xml:space="preserve">LDAP 389 observed; Windows logins on the shared instance.</t>
  </si>
  <si>
    <t xml:space="preserve">SSRS</t>
  </si>
  <si>
    <t xml:space="preserve">Rehost (SQLRPT)</t>
  </si>
  <si>
    <t xml:space="preserve">Windows auth to the report portal, SPNs, Kerberos delegation to data sources (double hop). Entra DS supports resource-based KCD only, so delegation is rebuilt. Folder security on AD groups; file-share subscriptions.</t>
  </si>
  <si>
    <t xml:space="preserve">MOVEit Transfer</t>
  </si>
  <si>
    <t xml:space="preserve">MOVEit Cloud (register says lift and shift)</t>
  </si>
  <si>
    <t xml:space="preserve">Playbook target is MOVEit Cloud federated to Entra ID. If it is lift and shift to Azure IaaS instead, internal user auth moves to LDAPS on Entra DS (add roughly 24-40 hrs).</t>
  </si>
  <si>
    <t xml:space="preserve">DFS</t>
  </si>
  <si>
    <t xml:space="preserve">W3</t>
  </si>
  <si>
    <t xml:space="preserve">Rehost - Azure Files</t>
  </si>
  <si>
    <t xml:space="preserve">Entra DS does not support DFS Replication or domain-based namespaces, so the namespace is redesigned (Azure Files paths, standalone namespace or GPO drive maps). Azure Files identity auth through Entra DS; NTFS ACL validation.</t>
  </si>
  <si>
    <t xml:space="preserve">FILE SHARE</t>
  </si>
  <si>
    <t xml:space="preserve">Storage account joined to Entra DS; share and NTFS permissions; drive mappings.</t>
  </si>
  <si>
    <t xml:space="preserve">Print Server</t>
  </si>
  <si>
    <t xml:space="preserve">Rehost</t>
  </si>
  <si>
    <t xml:space="preserve">Spooler auth, GPO printer deployment and queue ACLs on AD groups. Entra DS GPOs only reach Entra DS-joined machines, so end-user printer mapping may need Intune or Universal Print.</t>
  </si>
  <si>
    <t xml:space="preserve">ServiceNow</t>
  </si>
  <si>
    <t xml:space="preserve">Rehost - 4 MID servers</t>
  </si>
  <si>
    <t xml:space="preserve">Windows discovery (WMI/WinRM) needs a domain credential in Entra DS; LDAP user import re-pointed to Entra ID.</t>
  </si>
  <si>
    <t xml:space="preserve">MELISSA DATA</t>
  </si>
  <si>
    <t xml:space="preserve">W4</t>
  </si>
  <si>
    <t xml:space="preserve">Windows host; domain join and service account.</t>
  </si>
  <si>
    <t xml:space="preserve">Varonis</t>
  </si>
  <si>
    <t xml:space="preserve">SaaS; collectors retire or rehost (open)</t>
  </si>
  <si>
    <t xml:space="preserve">Monitors AD, file shares and SharePoint; collectors read the directory and collect DC events. Agents cannot be installed on Entra DS controllers. Vendor must confirm what Varonis can see on Entra DS and Azure Files.</t>
  </si>
  <si>
    <t xml:space="preserve">Veracode</t>
  </si>
  <si>
    <t xml:space="preserve">Already SaaS; 2 agent hosts</t>
  </si>
  <si>
    <t xml:space="preserve">Agent hosts domain-joined (Kerberos, LDAP, GPO). Domain join only; SSO already on Entra ID.</t>
  </si>
  <si>
    <t xml:space="preserve">Ansible</t>
  </si>
  <si>
    <t xml:space="preserve">Disposition open</t>
  </si>
  <si>
    <t xml:space="preserve">AAP/Tower login uses LDAP and GC; Windows automation uses WinRM with Kerberos and domain accounts. Needs LDAPS (or Entra ID SAML), krb5 realm change on execution nodes and service accounts in Entra DS.</t>
  </si>
  <si>
    <t xml:space="preserve">Genetec / Security Cameras</t>
  </si>
  <si>
    <t xml:space="preserve">Relocate (stays near cameras)</t>
  </si>
  <si>
    <t xml:space="preserve">Dashboard access by AD group; LDAPS 636 observed. Once on-prem AD retires, point it at Entra DS over LDAPS (or Entra ID sign-in if the version allows). The relocated site needs network line of sight to Entra DS.</t>
  </si>
  <si>
    <t xml:space="preserve">Blue figures are first-cut estimates and can be edited; size columns and totals recalculate. INTERNAL PKI hours are a placeholder until the PKI option is chosen.</t>
  </si>
  <si>
    <t xml:space="preserve">One-time Entra DS platform set-up (includes directory data set-up)</t>
  </si>
  <si>
    <t xml:space="preserve">Item</t>
  </si>
  <si>
    <t xml:space="preserve">Scope</t>
  </si>
  <si>
    <t xml:space="preserve">Deploy the managed domain</t>
  </si>
  <si>
    <t xml:space="preserve">Enterprise SKU, dedicated subnet and NSG, VNet DNS settings, conditional forwarders to and from Azure Private DNS.</t>
  </si>
  <si>
    <t xml:space="preserve">Credential sync</t>
  </si>
  <si>
    <t xml:space="preserve">Enable NTLM/Kerberos legacy hash sync in Entra Connect, scope sync, wait for initial sync, password-change comms for cloud-only accounts.</t>
  </si>
  <si>
    <t xml:space="preserve">Secure LDAP</t>
  </si>
  <si>
    <t xml:space="preserve">Obtain certificate, enable LDAPS, restrict access by NSG.</t>
  </si>
  <si>
    <t xml:space="preserve">Admin model</t>
  </si>
  <si>
    <t xml:space="preserve">Management VM with GPMC and RSAT, AAD DC Administrators membership, custom OU design and delegation.</t>
  </si>
  <si>
    <t xml:space="preserve">Group Policy baseline</t>
  </si>
  <si>
    <t xml:space="preserve">Export the server GPOs that matter from on-prem, import into new GPOs in custom OUs, add ADMX templates, security baseline.</t>
  </si>
  <si>
    <t xml:space="preserve">Directory data not synced</t>
  </si>
  <si>
    <t xml:space="preserve">Recreate service accounts and gMSAs, SPNs, DNS records and computer OU placement. None of these come across from Entra ID.</t>
  </si>
  <si>
    <t xml:space="preserve">Resilience and monitoring</t>
  </si>
  <si>
    <t xml:space="preserve">Replica set in the paired region, health alerts, diagnostic logs to the SIEM.</t>
  </si>
  <si>
    <t xml:space="preserve">Platform testing</t>
  </si>
  <si>
    <t xml:space="preserve">Kerberos, NTLM and LDAPS from a test VM, GPO application, DNS resolution, password change, replica failover.</t>
  </si>
  <si>
    <t xml:space="preserve">Effort roll-up</t>
  </si>
  <si>
    <t xml:space="preserve">Line</t>
  </si>
  <si>
    <t xml:space="preserve">Config low</t>
  </si>
  <si>
    <t xml:space="preserve">Config high</t>
  </si>
  <si>
    <t xml:space="preserve">Test low</t>
  </si>
  <si>
    <t xml:space="preserve">Test high</t>
  </si>
  <si>
    <t xml:space="preserve">One-time Entra DS platform set-up</t>
  </si>
  <si>
    <t xml:space="preserve">Applications excluding INTERNAL PKI</t>
  </si>
  <si>
    <t xml:space="preserve">Total excluding PKI</t>
  </si>
  <si>
    <t xml:space="preserve">INTERNAL PKI placeholder (option not chosen)</t>
  </si>
  <si>
    <t xml:space="preserve">Total including PKI placeholder</t>
  </si>
  <si>
    <t xml:space="preserve">Points to raise with the client</t>
  </si>
  <si>
    <t xml:space="preserve">1. PKI decision first</t>
  </si>
  <si>
    <t xml:space="preserve">An Enterprise CA cannot be hosted on Entra DS. LDAPS on Entra DS also needs a certificate, and so does the CyberArk, Genetec and Ansible re-pointing. Choose between a small self-managed AD DS in Azure for PKI only, or a cloud PKI.</t>
  </si>
  <si>
    <t xml:space="preserve">2. Group Policy only reaches Entra DS-joined servers</t>
  </si>
  <si>
    <t xml:space="preserve">End-user laptops will not pick up Entra DS GPOs, so printer and drive mappings for users move to Intune (or Universal Print).</t>
  </si>
  <si>
    <t xml:space="preserve">3. Shared SQL instances carry hidden load</t>
  </si>
  <si>
    <t xml:space="preserve">The 74-server SQL estate is domain-joined and uses Windows Integrated Auth (1,065 LDAP/GC flows observed). SQLMAIN, SQLRPT and SQLCOTS cutover nights should include an Entra DS sign-in check.</t>
  </si>
  <si>
    <t xml:space="preserve">4. Disposition conflicts change the sizing</t>
  </si>
  <si>
    <t xml:space="preserve">Turbonomic, MOVEit Transfer, GEHADATA, Varonis and Ansible have open or conflicting dispositions; a move to IaaS instead of SaaS/PaaS adds Entra DS work.</t>
  </si>
  <si>
    <t xml:space="preserve">5. Vendor confirmations</t>
  </si>
  <si>
    <t xml:space="preserve">Varonis (monitoring on Entra DS), Veracore (SSO on SaaS), Genetec (Entra ID sign-in on the installed version) and UiPath (network path from cloud robots).</t>
  </si>
  <si>
    <t xml:space="preserve">6. Outside the Wave 1-4 register</t>
  </si>
  <si>
    <t xml:space="preserve">HL7 (domain-joined, Windows integrated) and Token Security (AD connector host) would also need Entra DS. ExaBeam and Axonius drop their AD connectors in favour of Entra ID.</t>
  </si>
  <si>
    <t xml:space="preserve">Sources: Microsoft Learn - Entra Domain Services: compare identity solutions, FAQ, synchronization, manage Group Policy, Kerberos constrained delegation; Azure Files Entra DS authentication. Internal: 01_Playbooks_Current (33 playbooks), GEHA DCM Application IDs register.</t>
  </si>
</sst>
</file>

<file path=xl/styles.xml><?xml version="1.0" encoding="utf-8"?>
<styleSheet xmlns="http://schemas.openxmlformats.org/spreadsheetml/2006/main">
  <numFmts count="3">
    <numFmt numFmtId="164" formatCode="General"/>
    <numFmt numFmtId="165" formatCode="0;\-0;\-"/>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1"/>
      <color rgb="FF1F3864"/>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
      <sz val="9"/>
      <color rgb="FF0000FF"/>
      <name val="Arial"/>
      <family val="0"/>
      <charset val="1"/>
    </font>
    <font>
      <i val="true"/>
      <sz val="8"/>
      <color rgb="FF595959"/>
      <name val="Arial"/>
      <family val="0"/>
      <charset val="1"/>
    </font>
    <font>
      <b val="true"/>
      <sz val="10"/>
      <color rgb="FF1F3864"/>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F2F2F2"/>
        <bgColor rgb="FFEFEFEF"/>
      </patternFill>
    </fill>
    <fill>
      <patternFill patternType="solid">
        <fgColor rgb="FFF4CCCC"/>
        <bgColor rgb="FFE6B8AF"/>
      </patternFill>
    </fill>
    <fill>
      <patternFill patternType="solid">
        <fgColor rgb="FFD9EAD3"/>
        <bgColor rgb="FFDEEAF6"/>
      </patternFill>
    </fill>
    <fill>
      <patternFill patternType="solid">
        <fgColor rgb="FFE6B8AF"/>
        <bgColor rgb="FFF4CCCC"/>
      </patternFill>
    </fill>
    <fill>
      <patternFill patternType="solid">
        <fgColor rgb="FFFFF2CC"/>
        <bgColor rgb="FFFCE5CD"/>
      </patternFill>
    </fill>
    <fill>
      <patternFill patternType="solid">
        <fgColor rgb="FFFCE5CD"/>
        <bgColor rgb="FFFFF2CC"/>
      </patternFill>
    </fill>
    <fill>
      <patternFill patternType="solid">
        <fgColor rgb="FFEFEFEF"/>
        <bgColor rgb="FFF2F2F2"/>
      </patternFill>
    </fill>
    <fill>
      <patternFill patternType="solid">
        <fgColor rgb="FFDEEAF6"/>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6" fillId="0" borderId="0" xfId="0" applyFont="true" applyBorder="tru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6" fontId="8" fillId="1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top"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E6B8AF"/>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6"/>
    <col collapsed="false" customWidth="true" hidden="false" outlineLevel="0" max="4" min="4" style="0" width="26"/>
    <col collapsed="false" customWidth="true" hidden="false" outlineLevel="0" max="5" min="5" style="0" width="17"/>
    <col collapsed="false" customWidth="true" hidden="false" outlineLevel="0" max="6" min="6" style="0" width="80"/>
    <col collapsed="false" customWidth="true" hidden="false" outlineLevel="0" max="12" min="7" style="0" width="8"/>
  </cols>
  <sheetData>
    <row r="1" customFormat="false" ht="21.75" hidden="false" customHeight="true" outlineLevel="0" collapsed="false">
      <c r="A1" s="1" t="s">
        <v>0</v>
      </c>
      <c r="B1" s="1"/>
      <c r="C1" s="1"/>
      <c r="D1" s="1"/>
      <c r="E1" s="1"/>
      <c r="F1" s="1"/>
      <c r="G1" s="1"/>
      <c r="H1" s="1"/>
      <c r="I1" s="1"/>
      <c r="J1" s="1"/>
      <c r="K1" s="1"/>
      <c r="L1" s="1"/>
    </row>
    <row r="2" customFormat="false" ht="15" hidden="false" customHeight="false" outlineLevel="0" collapsed="false">
      <c r="A2" s="2" t="s">
        <v>1</v>
      </c>
      <c r="B2" s="2"/>
      <c r="C2" s="2"/>
      <c r="D2" s="2"/>
      <c r="E2" s="2"/>
      <c r="F2" s="2"/>
      <c r="G2" s="2"/>
      <c r="H2" s="2"/>
      <c r="I2" s="2"/>
      <c r="J2" s="2"/>
      <c r="K2" s="2"/>
      <c r="L2" s="2"/>
    </row>
    <row r="4" customFormat="false" ht="19.5" hidden="false" customHeight="true" outlineLevel="0" collapsed="false">
      <c r="A4" s="3" t="s">
        <v>2</v>
      </c>
      <c r="B4" s="3"/>
      <c r="C4" s="3"/>
      <c r="D4" s="3"/>
      <c r="E4" s="3"/>
      <c r="F4" s="3"/>
      <c r="G4" s="3"/>
      <c r="H4" s="3"/>
      <c r="I4" s="3"/>
      <c r="J4" s="3"/>
      <c r="K4" s="3"/>
      <c r="L4" s="3"/>
    </row>
    <row r="5" customFormat="false" ht="25.5" hidden="false" customHeight="true" outlineLevel="0" collapsed="false">
      <c r="A5" s="4"/>
      <c r="B5" s="4"/>
      <c r="C5" s="4"/>
      <c r="D5" s="4" t="s">
        <v>3</v>
      </c>
      <c r="E5" s="4"/>
      <c r="F5" s="4" t="s">
        <v>4</v>
      </c>
      <c r="G5" s="4"/>
      <c r="H5" s="4"/>
      <c r="I5" s="4"/>
      <c r="J5" s="4"/>
      <c r="K5" s="4"/>
      <c r="L5" s="4"/>
    </row>
    <row r="6" customFormat="false" ht="27" hidden="false" customHeight="true" outlineLevel="0" collapsed="false">
      <c r="A6" s="5" t="s">
        <v>5</v>
      </c>
      <c r="B6" s="5"/>
      <c r="C6" s="5"/>
      <c r="D6" s="6" t="s">
        <v>6</v>
      </c>
      <c r="E6" s="6"/>
      <c r="F6" s="6" t="s">
        <v>7</v>
      </c>
      <c r="G6" s="6"/>
      <c r="H6" s="6"/>
      <c r="I6" s="6"/>
      <c r="J6" s="6"/>
      <c r="K6" s="6"/>
      <c r="L6" s="6"/>
    </row>
    <row r="7" customFormat="false" ht="15" hidden="false" customHeight="true" outlineLevel="0" collapsed="false">
      <c r="A7" s="5" t="s">
        <v>8</v>
      </c>
      <c r="B7" s="5"/>
      <c r="C7" s="5"/>
      <c r="D7" s="6" t="s">
        <v>9</v>
      </c>
      <c r="E7" s="6"/>
      <c r="F7" s="6" t="s">
        <v>10</v>
      </c>
      <c r="G7" s="6"/>
      <c r="H7" s="6"/>
      <c r="I7" s="6"/>
      <c r="J7" s="6"/>
      <c r="K7" s="6"/>
      <c r="L7" s="6"/>
    </row>
    <row r="8" customFormat="false" ht="15" hidden="false" customHeight="true" outlineLevel="0" collapsed="false">
      <c r="A8" s="5" t="s">
        <v>11</v>
      </c>
      <c r="B8" s="5"/>
      <c r="C8" s="5"/>
      <c r="D8" s="6" t="s">
        <v>12</v>
      </c>
      <c r="E8" s="6"/>
      <c r="F8" s="6" t="s">
        <v>13</v>
      </c>
      <c r="G8" s="6"/>
      <c r="H8" s="6"/>
      <c r="I8" s="6"/>
      <c r="J8" s="6"/>
      <c r="K8" s="6"/>
      <c r="L8" s="6"/>
    </row>
    <row r="9" customFormat="false" ht="15" hidden="false" customHeight="true" outlineLevel="0" collapsed="false">
      <c r="A9" s="5" t="s">
        <v>14</v>
      </c>
      <c r="B9" s="5"/>
      <c r="C9" s="5"/>
      <c r="D9" s="6" t="s">
        <v>15</v>
      </c>
      <c r="E9" s="6"/>
      <c r="F9" s="6" t="s">
        <v>16</v>
      </c>
      <c r="G9" s="6"/>
      <c r="H9" s="6"/>
      <c r="I9" s="6"/>
      <c r="J9" s="6"/>
      <c r="K9" s="6"/>
      <c r="L9" s="6"/>
    </row>
    <row r="10" customFormat="false" ht="15" hidden="false" customHeight="true" outlineLevel="0" collapsed="false">
      <c r="A10" s="5" t="s">
        <v>17</v>
      </c>
      <c r="B10" s="5"/>
      <c r="C10" s="5"/>
      <c r="D10" s="6" t="s">
        <v>18</v>
      </c>
      <c r="E10" s="6"/>
      <c r="F10" s="6" t="s">
        <v>19</v>
      </c>
      <c r="G10" s="6"/>
      <c r="H10" s="6"/>
      <c r="I10" s="6"/>
      <c r="J10" s="6"/>
      <c r="K10" s="6"/>
      <c r="L10" s="6"/>
    </row>
    <row r="12" customFormat="false" ht="19.5" hidden="false" customHeight="true" outlineLevel="0" collapsed="false">
      <c r="A12" s="3" t="s">
        <v>20</v>
      </c>
      <c r="B12" s="3"/>
      <c r="C12" s="3"/>
      <c r="D12" s="3"/>
      <c r="E12" s="3"/>
      <c r="F12" s="3"/>
      <c r="G12" s="3"/>
      <c r="H12" s="3"/>
      <c r="I12" s="3"/>
      <c r="J12" s="3"/>
      <c r="K12" s="3"/>
      <c r="L12" s="3"/>
    </row>
    <row r="13" customFormat="false" ht="27.75" hidden="false" customHeight="true" outlineLevel="0" collapsed="false">
      <c r="A13" s="7" t="s">
        <v>21</v>
      </c>
      <c r="B13" s="7"/>
      <c r="C13" s="7"/>
      <c r="D13" s="7"/>
      <c r="E13" s="7"/>
      <c r="F13" s="7"/>
      <c r="G13" s="7"/>
      <c r="H13" s="7"/>
      <c r="I13" s="7"/>
      <c r="J13" s="7"/>
      <c r="K13" s="7"/>
      <c r="L13" s="7"/>
    </row>
    <row r="15" customFormat="false" ht="19.5" hidden="false" customHeight="true" outlineLevel="0" collapsed="false">
      <c r="A15" s="3" t="s">
        <v>22</v>
      </c>
      <c r="B15" s="3"/>
      <c r="C15" s="3"/>
      <c r="D15" s="3"/>
      <c r="E15" s="3"/>
      <c r="F15" s="3"/>
      <c r="G15" s="3"/>
      <c r="H15" s="3"/>
      <c r="I15" s="3"/>
      <c r="J15" s="3"/>
      <c r="K15" s="3"/>
      <c r="L15" s="3"/>
    </row>
    <row r="16" customFormat="false" ht="25.5" hidden="false" customHeight="true" outlineLevel="0" collapsed="false">
      <c r="A16" s="4" t="s">
        <v>23</v>
      </c>
      <c r="B16" s="4" t="s">
        <v>24</v>
      </c>
      <c r="C16" s="4" t="s">
        <v>25</v>
      </c>
      <c r="D16" s="4" t="s">
        <v>26</v>
      </c>
      <c r="E16" s="4" t="s">
        <v>27</v>
      </c>
      <c r="F16" s="4" t="s">
        <v>28</v>
      </c>
      <c r="G16" s="4" t="s">
        <v>29</v>
      </c>
      <c r="H16" s="4" t="s">
        <v>30</v>
      </c>
      <c r="I16" s="4" t="s">
        <v>31</v>
      </c>
      <c r="J16" s="4" t="s">
        <v>32</v>
      </c>
      <c r="K16" s="4" t="s">
        <v>33</v>
      </c>
      <c r="L16" s="4" t="s">
        <v>34</v>
      </c>
    </row>
    <row r="17" customFormat="false" ht="51" hidden="false" customHeight="true" outlineLevel="0" collapsed="false">
      <c r="A17" s="8" t="n">
        <v>1</v>
      </c>
      <c r="B17" s="9" t="s">
        <v>35</v>
      </c>
      <c r="C17" s="8" t="s">
        <v>36</v>
      </c>
      <c r="D17" s="6" t="s">
        <v>37</v>
      </c>
      <c r="E17" s="10" t="s">
        <v>38</v>
      </c>
      <c r="F17" s="6" t="s">
        <v>39</v>
      </c>
      <c r="G17" s="11" t="n">
        <v>60</v>
      </c>
      <c r="H17" s="11" t="n">
        <v>100</v>
      </c>
      <c r="I17" s="8" t="str">
        <f aca="false">IF(H17=0,"-",IF(H17&lt;=8,"XS",IF(H17&lt;=24,"S",IF(H17&lt;=60,"M",IF(H17&lt;=120,"L","XL")))))</f>
        <v>L</v>
      </c>
      <c r="J17" s="11" t="n">
        <v>60</v>
      </c>
      <c r="K17" s="11" t="n">
        <v>100</v>
      </c>
      <c r="L17" s="8" t="str">
        <f aca="false">IF(K17=0,"-",IF(K17&lt;=8,"XS",IF(K17&lt;=24,"S",IF(K17&lt;=60,"M",IF(K17&lt;=120,"L","XL")))))</f>
        <v>L</v>
      </c>
    </row>
    <row r="18" customFormat="false" ht="27" hidden="false" customHeight="true" outlineLevel="0" collapsed="false">
      <c r="A18" s="8" t="n">
        <v>2</v>
      </c>
      <c r="B18" s="9" t="s">
        <v>40</v>
      </c>
      <c r="C18" s="8" t="s">
        <v>36</v>
      </c>
      <c r="D18" s="6" t="s">
        <v>41</v>
      </c>
      <c r="E18" s="12" t="s">
        <v>42</v>
      </c>
      <c r="F18" s="6" t="s">
        <v>43</v>
      </c>
      <c r="G18" s="11" t="n">
        <v>4</v>
      </c>
      <c r="H18" s="11" t="n">
        <v>8</v>
      </c>
      <c r="I18" s="8" t="str">
        <f aca="false">IF(H18=0,"-",IF(H18&lt;=8,"XS",IF(H18&lt;=24,"S",IF(H18&lt;=60,"M",IF(H18&lt;=120,"L","XL")))))</f>
        <v>XS</v>
      </c>
      <c r="J18" s="11" t="n">
        <v>4</v>
      </c>
      <c r="K18" s="11" t="n">
        <v>8</v>
      </c>
      <c r="L18" s="8" t="str">
        <f aca="false">IF(K18=0,"-",IF(K18&lt;=8,"XS",IF(K18&lt;=24,"S",IF(K18&lt;=60,"M",IF(K18&lt;=120,"L","XL")))))</f>
        <v>XS</v>
      </c>
    </row>
    <row r="19" customFormat="false" ht="63" hidden="false" customHeight="true" outlineLevel="0" collapsed="false">
      <c r="A19" s="8" t="n">
        <v>3</v>
      </c>
      <c r="B19" s="9" t="s">
        <v>44</v>
      </c>
      <c r="C19" s="8" t="s">
        <v>36</v>
      </c>
      <c r="D19" s="6" t="s">
        <v>45</v>
      </c>
      <c r="E19" s="13" t="s">
        <v>46</v>
      </c>
      <c r="F19" s="6" t="s">
        <v>47</v>
      </c>
      <c r="G19" s="11" t="n">
        <v>120</v>
      </c>
      <c r="H19" s="11" t="n">
        <v>200</v>
      </c>
      <c r="I19" s="8" t="str">
        <f aca="false">IF(H19=0,"-",IF(H19&lt;=8,"XS",IF(H19&lt;=24,"S",IF(H19&lt;=60,"M",IF(H19&lt;=120,"L","XL")))))</f>
        <v>XL</v>
      </c>
      <c r="J19" s="11" t="n">
        <v>80</v>
      </c>
      <c r="K19" s="11" t="n">
        <v>120</v>
      </c>
      <c r="L19" s="8" t="str">
        <f aca="false">IF(K19=0,"-",IF(K19&lt;=8,"XS",IF(K19&lt;=24,"S",IF(K19&lt;=60,"M",IF(K19&lt;=120,"L","XL")))))</f>
        <v>L</v>
      </c>
    </row>
    <row r="20" customFormat="false" ht="39" hidden="false" customHeight="true" outlineLevel="0" collapsed="false">
      <c r="A20" s="8" t="n">
        <v>4</v>
      </c>
      <c r="B20" s="9" t="s">
        <v>48</v>
      </c>
      <c r="C20" s="8" t="s">
        <v>36</v>
      </c>
      <c r="D20" s="6" t="s">
        <v>49</v>
      </c>
      <c r="E20" s="14" t="s">
        <v>50</v>
      </c>
      <c r="F20" s="6" t="s">
        <v>51</v>
      </c>
      <c r="G20" s="11" t="n">
        <v>8</v>
      </c>
      <c r="H20" s="11" t="n">
        <v>16</v>
      </c>
      <c r="I20" s="8" t="str">
        <f aca="false">IF(H20=0,"-",IF(H20&lt;=8,"XS",IF(H20&lt;=24,"S",IF(H20&lt;=60,"M",IF(H20&lt;=120,"L","XL")))))</f>
        <v>S</v>
      </c>
      <c r="J20" s="11" t="n">
        <v>8</v>
      </c>
      <c r="K20" s="11" t="n">
        <v>16</v>
      </c>
      <c r="L20" s="8" t="str">
        <f aca="false">IF(K20=0,"-",IF(K20&lt;=8,"XS",IF(K20&lt;=24,"S",IF(K20&lt;=60,"M",IF(K20&lt;=120,"L","XL")))))</f>
        <v>S</v>
      </c>
    </row>
    <row r="21" customFormat="false" ht="27" hidden="false" customHeight="true" outlineLevel="0" collapsed="false">
      <c r="A21" s="8" t="n">
        <v>5</v>
      </c>
      <c r="B21" s="9" t="s">
        <v>52</v>
      </c>
      <c r="C21" s="8" t="s">
        <v>36</v>
      </c>
      <c r="D21" s="6" t="s">
        <v>53</v>
      </c>
      <c r="E21" s="12" t="s">
        <v>42</v>
      </c>
      <c r="F21" s="6" t="s">
        <v>54</v>
      </c>
      <c r="G21" s="11" t="n">
        <v>0</v>
      </c>
      <c r="H21" s="11" t="n">
        <v>4</v>
      </c>
      <c r="I21" s="8" t="str">
        <f aca="false">IF(H21=0,"-",IF(H21&lt;=8,"XS",IF(H21&lt;=24,"S",IF(H21&lt;=60,"M",IF(H21&lt;=120,"L","XL")))))</f>
        <v>XS</v>
      </c>
      <c r="J21" s="11" t="n">
        <v>2</v>
      </c>
      <c r="K21" s="11" t="n">
        <v>4</v>
      </c>
      <c r="L21" s="8" t="str">
        <f aca="false">IF(K21=0,"-",IF(K21&lt;=8,"XS",IF(K21&lt;=24,"S",IF(K21&lt;=60,"M",IF(K21&lt;=120,"L","XL")))))</f>
        <v>XS</v>
      </c>
    </row>
    <row r="22" customFormat="false" ht="27" hidden="false" customHeight="true" outlineLevel="0" collapsed="false">
      <c r="A22" s="8" t="n">
        <v>6</v>
      </c>
      <c r="B22" s="9" t="s">
        <v>55</v>
      </c>
      <c r="C22" s="8" t="s">
        <v>36</v>
      </c>
      <c r="D22" s="6" t="s">
        <v>56</v>
      </c>
      <c r="E22" s="12" t="s">
        <v>42</v>
      </c>
      <c r="F22" s="6" t="s">
        <v>57</v>
      </c>
      <c r="G22" s="11" t="n">
        <v>0</v>
      </c>
      <c r="H22" s="11" t="n">
        <v>0</v>
      </c>
      <c r="I22" s="8" t="str">
        <f aca="false">IF(H22=0,"-",IF(H22&lt;=8,"XS",IF(H22&lt;=24,"S",IF(H22&lt;=60,"M",IF(H22&lt;=120,"L","XL")))))</f>
        <v>-</v>
      </c>
      <c r="J22" s="11" t="n">
        <v>2</v>
      </c>
      <c r="K22" s="11" t="n">
        <v>4</v>
      </c>
      <c r="L22" s="8" t="str">
        <f aca="false">IF(K22=0,"-",IF(K22&lt;=8,"XS",IF(K22&lt;=24,"S",IF(K22&lt;=60,"M",IF(K22&lt;=120,"L","XL")))))</f>
        <v>XS</v>
      </c>
    </row>
    <row r="23" customFormat="false" ht="39" hidden="false" customHeight="true" outlineLevel="0" collapsed="false">
      <c r="A23" s="8" t="n">
        <v>7</v>
      </c>
      <c r="B23" s="9" t="s">
        <v>58</v>
      </c>
      <c r="C23" s="8" t="s">
        <v>36</v>
      </c>
      <c r="D23" s="6" t="s">
        <v>59</v>
      </c>
      <c r="E23" s="10" t="s">
        <v>38</v>
      </c>
      <c r="F23" s="6" t="s">
        <v>60</v>
      </c>
      <c r="G23" s="11" t="n">
        <v>60</v>
      </c>
      <c r="H23" s="11" t="n">
        <v>100</v>
      </c>
      <c r="I23" s="8" t="str">
        <f aca="false">IF(H23=0,"-",IF(H23&lt;=8,"XS",IF(H23&lt;=24,"S",IF(H23&lt;=60,"M",IF(H23&lt;=120,"L","XL")))))</f>
        <v>L</v>
      </c>
      <c r="J23" s="11" t="n">
        <v>60</v>
      </c>
      <c r="K23" s="11" t="n">
        <v>100</v>
      </c>
      <c r="L23" s="8" t="str">
        <f aca="false">IF(K23=0,"-",IF(K23&lt;=8,"XS",IF(K23&lt;=24,"S",IF(K23&lt;=60,"M",IF(K23&lt;=120,"L","XL")))))</f>
        <v>L</v>
      </c>
    </row>
    <row r="24" customFormat="false" ht="27" hidden="false" customHeight="true" outlineLevel="0" collapsed="false">
      <c r="A24" s="8" t="n">
        <v>8</v>
      </c>
      <c r="B24" s="9" t="s">
        <v>61</v>
      </c>
      <c r="C24" s="8" t="s">
        <v>62</v>
      </c>
      <c r="D24" s="6" t="s">
        <v>63</v>
      </c>
      <c r="E24" s="12" t="s">
        <v>42</v>
      </c>
      <c r="F24" s="6" t="s">
        <v>64</v>
      </c>
      <c r="G24" s="11" t="n">
        <v>0</v>
      </c>
      <c r="H24" s="11" t="n">
        <v>0</v>
      </c>
      <c r="I24" s="8" t="str">
        <f aca="false">IF(H24=0,"-",IF(H24&lt;=8,"XS",IF(H24&lt;=24,"S",IF(H24&lt;=60,"M",IF(H24&lt;=120,"L","XL")))))</f>
        <v>-</v>
      </c>
      <c r="J24" s="11" t="n">
        <v>2</v>
      </c>
      <c r="K24" s="11" t="n">
        <v>4</v>
      </c>
      <c r="L24" s="8" t="str">
        <f aca="false">IF(K24=0,"-",IF(K24&lt;=8,"XS",IF(K24&lt;=24,"S",IF(K24&lt;=60,"M",IF(K24&lt;=120,"L","XL")))))</f>
        <v>XS</v>
      </c>
    </row>
    <row r="25" customFormat="false" ht="27" hidden="false" customHeight="true" outlineLevel="0" collapsed="false">
      <c r="A25" s="8" t="n">
        <v>9</v>
      </c>
      <c r="B25" s="9" t="s">
        <v>65</v>
      </c>
      <c r="C25" s="8" t="s">
        <v>62</v>
      </c>
      <c r="D25" s="6" t="s">
        <v>66</v>
      </c>
      <c r="E25" s="12" t="s">
        <v>42</v>
      </c>
      <c r="F25" s="6" t="s">
        <v>67</v>
      </c>
      <c r="G25" s="11" t="n">
        <v>4</v>
      </c>
      <c r="H25" s="11" t="n">
        <v>8</v>
      </c>
      <c r="I25" s="8" t="str">
        <f aca="false">IF(H25=0,"-",IF(H25&lt;=8,"XS",IF(H25&lt;=24,"S",IF(H25&lt;=60,"M",IF(H25&lt;=120,"L","XL")))))</f>
        <v>XS</v>
      </c>
      <c r="J25" s="11" t="n">
        <v>8</v>
      </c>
      <c r="K25" s="11" t="n">
        <v>16</v>
      </c>
      <c r="L25" s="8" t="str">
        <f aca="false">IF(K25=0,"-",IF(K25&lt;=8,"XS",IF(K25&lt;=24,"S",IF(K25&lt;=60,"M",IF(K25&lt;=120,"L","XL")))))</f>
        <v>S</v>
      </c>
    </row>
    <row r="26" customFormat="false" ht="39" hidden="false" customHeight="true" outlineLevel="0" collapsed="false">
      <c r="A26" s="8" t="n">
        <v>10</v>
      </c>
      <c r="B26" s="9" t="s">
        <v>68</v>
      </c>
      <c r="C26" s="8" t="s">
        <v>62</v>
      </c>
      <c r="D26" s="6" t="s">
        <v>69</v>
      </c>
      <c r="E26" s="12" t="s">
        <v>42</v>
      </c>
      <c r="F26" s="6" t="s">
        <v>70</v>
      </c>
      <c r="G26" s="11" t="n">
        <v>0</v>
      </c>
      <c r="H26" s="11" t="n">
        <v>0</v>
      </c>
      <c r="I26" s="8" t="str">
        <f aca="false">IF(H26=0,"-",IF(H26&lt;=8,"XS",IF(H26&lt;=24,"S",IF(H26&lt;=60,"M",IF(H26&lt;=120,"L","XL")))))</f>
        <v>-</v>
      </c>
      <c r="J26" s="11" t="n">
        <v>0</v>
      </c>
      <c r="K26" s="11" t="n">
        <v>0</v>
      </c>
      <c r="L26" s="8" t="str">
        <f aca="false">IF(K26=0,"-",IF(K26&lt;=8,"XS",IF(K26&lt;=24,"S",IF(K26&lt;=60,"M",IF(K26&lt;=120,"L","XL")))))</f>
        <v>-</v>
      </c>
    </row>
    <row r="27" customFormat="false" ht="51" hidden="false" customHeight="true" outlineLevel="0" collapsed="false">
      <c r="A27" s="8" t="n">
        <v>11</v>
      </c>
      <c r="B27" s="9" t="s">
        <v>71</v>
      </c>
      <c r="C27" s="8" t="s">
        <v>62</v>
      </c>
      <c r="D27" s="6" t="s">
        <v>72</v>
      </c>
      <c r="E27" s="15" t="s">
        <v>73</v>
      </c>
      <c r="F27" s="6" t="s">
        <v>74</v>
      </c>
      <c r="G27" s="11" t="n">
        <v>24</v>
      </c>
      <c r="H27" s="11" t="n">
        <v>48</v>
      </c>
      <c r="I27" s="8" t="str">
        <f aca="false">IF(H27=0,"-",IF(H27&lt;=8,"XS",IF(H27&lt;=24,"S",IF(H27&lt;=60,"M",IF(H27&lt;=120,"L","XL")))))</f>
        <v>M</v>
      </c>
      <c r="J27" s="11" t="n">
        <v>40</v>
      </c>
      <c r="K27" s="11" t="n">
        <v>80</v>
      </c>
      <c r="L27" s="8" t="str">
        <f aca="false">IF(K27=0,"-",IF(K27&lt;=8,"XS",IF(K27&lt;=24,"S",IF(K27&lt;=60,"M",IF(K27&lt;=120,"L","XL")))))</f>
        <v>L</v>
      </c>
    </row>
    <row r="28" customFormat="false" ht="27" hidden="false" customHeight="true" outlineLevel="0" collapsed="false">
      <c r="A28" s="8" t="n">
        <v>12</v>
      </c>
      <c r="B28" s="9" t="s">
        <v>75</v>
      </c>
      <c r="C28" s="8" t="s">
        <v>62</v>
      </c>
      <c r="D28" s="6" t="s">
        <v>76</v>
      </c>
      <c r="E28" s="14" t="s">
        <v>50</v>
      </c>
      <c r="F28" s="6" t="s">
        <v>77</v>
      </c>
      <c r="G28" s="11" t="n">
        <v>4</v>
      </c>
      <c r="H28" s="11" t="n">
        <v>8</v>
      </c>
      <c r="I28" s="8" t="str">
        <f aca="false">IF(H28=0,"-",IF(H28&lt;=8,"XS",IF(H28&lt;=24,"S",IF(H28&lt;=60,"M",IF(H28&lt;=120,"L","XL")))))</f>
        <v>XS</v>
      </c>
      <c r="J28" s="11" t="n">
        <v>4</v>
      </c>
      <c r="K28" s="11" t="n">
        <v>8</v>
      </c>
      <c r="L28" s="8" t="str">
        <f aca="false">IF(K28=0,"-",IF(K28&lt;=8,"XS",IF(K28&lt;=24,"S",IF(K28&lt;=60,"M",IF(K28&lt;=120,"L","XL")))))</f>
        <v>XS</v>
      </c>
    </row>
    <row r="29" customFormat="false" ht="27" hidden="false" customHeight="true" outlineLevel="0" collapsed="false">
      <c r="A29" s="8" t="n">
        <v>13</v>
      </c>
      <c r="B29" s="9" t="s">
        <v>78</v>
      </c>
      <c r="C29" s="8" t="s">
        <v>62</v>
      </c>
      <c r="D29" s="6" t="s">
        <v>79</v>
      </c>
      <c r="E29" s="14" t="s">
        <v>50</v>
      </c>
      <c r="F29" s="6" t="s">
        <v>80</v>
      </c>
      <c r="G29" s="11" t="n">
        <v>4</v>
      </c>
      <c r="H29" s="11" t="n">
        <v>8</v>
      </c>
      <c r="I29" s="8" t="str">
        <f aca="false">IF(H29=0,"-",IF(H29&lt;=8,"XS",IF(H29&lt;=24,"S",IF(H29&lt;=60,"M",IF(H29&lt;=120,"L","XL")))))</f>
        <v>XS</v>
      </c>
      <c r="J29" s="11" t="n">
        <v>4</v>
      </c>
      <c r="K29" s="11" t="n">
        <v>8</v>
      </c>
      <c r="L29" s="8" t="str">
        <f aca="false">IF(K29=0,"-",IF(K29&lt;=8,"XS",IF(K29&lt;=24,"S",IF(K29&lt;=60,"M",IF(K29&lt;=120,"L","XL")))))</f>
        <v>XS</v>
      </c>
    </row>
    <row r="30" customFormat="false" ht="15" hidden="false" customHeight="true" outlineLevel="0" collapsed="false">
      <c r="A30" s="8" t="n">
        <v>14</v>
      </c>
      <c r="B30" s="9" t="s">
        <v>81</v>
      </c>
      <c r="C30" s="8" t="s">
        <v>62</v>
      </c>
      <c r="D30" s="6" t="s">
        <v>82</v>
      </c>
      <c r="E30" s="16" t="s">
        <v>83</v>
      </c>
      <c r="F30" s="6" t="s">
        <v>84</v>
      </c>
      <c r="G30" s="11" t="n">
        <v>0</v>
      </c>
      <c r="H30" s="11" t="n">
        <v>0</v>
      </c>
      <c r="I30" s="8" t="str">
        <f aca="false">IF(H30=0,"-",IF(H30&lt;=8,"XS",IF(H30&lt;=24,"S",IF(H30&lt;=60,"M",IF(H30&lt;=120,"L","XL")))))</f>
        <v>-</v>
      </c>
      <c r="J30" s="11" t="n">
        <v>0</v>
      </c>
      <c r="K30" s="11" t="n">
        <v>0</v>
      </c>
      <c r="L30" s="8" t="str">
        <f aca="false">IF(K30=0,"-",IF(K30&lt;=8,"XS",IF(K30&lt;=24,"S",IF(K30&lt;=60,"M",IF(K30&lt;=120,"L","XL")))))</f>
        <v>-</v>
      </c>
    </row>
    <row r="31" customFormat="false" ht="27" hidden="false" customHeight="true" outlineLevel="0" collapsed="false">
      <c r="A31" s="8" t="n">
        <v>15</v>
      </c>
      <c r="B31" s="9" t="s">
        <v>85</v>
      </c>
      <c r="C31" s="8" t="s">
        <v>62</v>
      </c>
      <c r="D31" s="6" t="s">
        <v>86</v>
      </c>
      <c r="E31" s="14" t="s">
        <v>50</v>
      </c>
      <c r="F31" s="6" t="s">
        <v>87</v>
      </c>
      <c r="G31" s="11" t="n">
        <v>4</v>
      </c>
      <c r="H31" s="11" t="n">
        <v>8</v>
      </c>
      <c r="I31" s="8" t="str">
        <f aca="false">IF(H31=0,"-",IF(H31&lt;=8,"XS",IF(H31&lt;=24,"S",IF(H31&lt;=60,"M",IF(H31&lt;=120,"L","XL")))))</f>
        <v>XS</v>
      </c>
      <c r="J31" s="11" t="n">
        <v>4</v>
      </c>
      <c r="K31" s="11" t="n">
        <v>8</v>
      </c>
      <c r="L31" s="8" t="str">
        <f aca="false">IF(K31=0,"-",IF(K31&lt;=8,"XS",IF(K31&lt;=24,"S",IF(K31&lt;=60,"M",IF(K31&lt;=120,"L","XL")))))</f>
        <v>XS</v>
      </c>
    </row>
    <row r="32" customFormat="false" ht="27" hidden="false" customHeight="true" outlineLevel="0" collapsed="false">
      <c r="A32" s="8" t="n">
        <v>16</v>
      </c>
      <c r="B32" s="9" t="s">
        <v>88</v>
      </c>
      <c r="C32" s="8" t="s">
        <v>62</v>
      </c>
      <c r="D32" s="6" t="s">
        <v>89</v>
      </c>
      <c r="E32" s="14" t="s">
        <v>50</v>
      </c>
      <c r="F32" s="6" t="s">
        <v>90</v>
      </c>
      <c r="G32" s="11" t="n">
        <v>4</v>
      </c>
      <c r="H32" s="11" t="n">
        <v>8</v>
      </c>
      <c r="I32" s="8" t="str">
        <f aca="false">IF(H32=0,"-",IF(H32&lt;=8,"XS",IF(H32&lt;=24,"S",IF(H32&lt;=60,"M",IF(H32&lt;=120,"L","XL")))))</f>
        <v>XS</v>
      </c>
      <c r="J32" s="11" t="n">
        <v>4</v>
      </c>
      <c r="K32" s="11" t="n">
        <v>12</v>
      </c>
      <c r="L32" s="8" t="str">
        <f aca="false">IF(K32=0,"-",IF(K32&lt;=8,"XS",IF(K32&lt;=24,"S",IF(K32&lt;=60,"M",IF(K32&lt;=120,"L","XL")))))</f>
        <v>S</v>
      </c>
    </row>
    <row r="33" customFormat="false" ht="39" hidden="false" customHeight="true" outlineLevel="0" collapsed="false">
      <c r="A33" s="8" t="n">
        <v>17</v>
      </c>
      <c r="B33" s="9" t="s">
        <v>91</v>
      </c>
      <c r="C33" s="8" t="s">
        <v>62</v>
      </c>
      <c r="D33" s="6" t="s">
        <v>92</v>
      </c>
      <c r="E33" s="15" t="s">
        <v>73</v>
      </c>
      <c r="F33" s="6" t="s">
        <v>93</v>
      </c>
      <c r="G33" s="11" t="n">
        <v>24</v>
      </c>
      <c r="H33" s="11" t="n">
        <v>40</v>
      </c>
      <c r="I33" s="8" t="str">
        <f aca="false">IF(H33=0,"-",IF(H33&lt;=8,"XS",IF(H33&lt;=24,"S",IF(H33&lt;=60,"M",IF(H33&lt;=120,"L","XL")))))</f>
        <v>M</v>
      </c>
      <c r="J33" s="11" t="n">
        <v>24</v>
      </c>
      <c r="K33" s="11" t="n">
        <v>40</v>
      </c>
      <c r="L33" s="8" t="str">
        <f aca="false">IF(K33=0,"-",IF(K33&lt;=8,"XS",IF(K33&lt;=24,"S",IF(K33&lt;=60,"M",IF(K33&lt;=120,"L","XL")))))</f>
        <v>M</v>
      </c>
    </row>
    <row r="34" customFormat="false" ht="39" hidden="false" customHeight="true" outlineLevel="0" collapsed="false">
      <c r="A34" s="8" t="n">
        <v>18</v>
      </c>
      <c r="B34" s="9" t="s">
        <v>94</v>
      </c>
      <c r="C34" s="8" t="s">
        <v>62</v>
      </c>
      <c r="D34" s="6" t="s">
        <v>95</v>
      </c>
      <c r="E34" s="12" t="s">
        <v>42</v>
      </c>
      <c r="F34" s="6" t="s">
        <v>96</v>
      </c>
      <c r="G34" s="11" t="n">
        <v>0</v>
      </c>
      <c r="H34" s="11" t="n">
        <v>8</v>
      </c>
      <c r="I34" s="8" t="str">
        <f aca="false">IF(H34=0,"-",IF(H34&lt;=8,"XS",IF(H34&lt;=24,"S",IF(H34&lt;=60,"M",IF(H34&lt;=120,"L","XL")))))</f>
        <v>XS</v>
      </c>
      <c r="J34" s="11" t="n">
        <v>4</v>
      </c>
      <c r="K34" s="11" t="n">
        <v>8</v>
      </c>
      <c r="L34" s="8" t="str">
        <f aca="false">IF(K34=0,"-",IF(K34&lt;=8,"XS",IF(K34&lt;=24,"S",IF(K34&lt;=60,"M",IF(K34&lt;=120,"L","XL")))))</f>
        <v>XS</v>
      </c>
    </row>
    <row r="35" customFormat="false" ht="51" hidden="false" customHeight="true" outlineLevel="0" collapsed="false">
      <c r="A35" s="8" t="n">
        <v>19</v>
      </c>
      <c r="B35" s="9" t="s">
        <v>97</v>
      </c>
      <c r="C35" s="8" t="s">
        <v>98</v>
      </c>
      <c r="D35" s="6" t="s">
        <v>99</v>
      </c>
      <c r="E35" s="10" t="s">
        <v>38</v>
      </c>
      <c r="F35" s="6" t="s">
        <v>100</v>
      </c>
      <c r="G35" s="11" t="n">
        <v>60</v>
      </c>
      <c r="H35" s="11" t="n">
        <v>100</v>
      </c>
      <c r="I35" s="8" t="str">
        <f aca="false">IF(H35=0,"-",IF(H35&lt;=8,"XS",IF(H35&lt;=24,"S",IF(H35&lt;=60,"M",IF(H35&lt;=120,"L","XL")))))</f>
        <v>L</v>
      </c>
      <c r="J35" s="11" t="n">
        <v>40</v>
      </c>
      <c r="K35" s="11" t="n">
        <v>80</v>
      </c>
      <c r="L35" s="8" t="str">
        <f aca="false">IF(K35=0,"-",IF(K35&lt;=8,"XS",IF(K35&lt;=24,"S",IF(K35&lt;=60,"M",IF(K35&lt;=120,"L","XL")))))</f>
        <v>L</v>
      </c>
    </row>
    <row r="36" customFormat="false" ht="27" hidden="false" customHeight="true" outlineLevel="0" collapsed="false">
      <c r="A36" s="8" t="n">
        <v>20</v>
      </c>
      <c r="B36" s="9" t="s">
        <v>101</v>
      </c>
      <c r="C36" s="8" t="s">
        <v>98</v>
      </c>
      <c r="D36" s="6" t="s">
        <v>99</v>
      </c>
      <c r="E36" s="15" t="s">
        <v>73</v>
      </c>
      <c r="F36" s="6" t="s">
        <v>102</v>
      </c>
      <c r="G36" s="11" t="n">
        <v>24</v>
      </c>
      <c r="H36" s="11" t="n">
        <v>48</v>
      </c>
      <c r="I36" s="8" t="str">
        <f aca="false">IF(H36=0,"-",IF(H36&lt;=8,"XS",IF(H36&lt;=24,"S",IF(H36&lt;=60,"M",IF(H36&lt;=120,"L","XL")))))</f>
        <v>M</v>
      </c>
      <c r="J36" s="11" t="n">
        <v>24</v>
      </c>
      <c r="K36" s="11" t="n">
        <v>40</v>
      </c>
      <c r="L36" s="8" t="str">
        <f aca="false">IF(K36=0,"-",IF(K36&lt;=8,"XS",IF(K36&lt;=24,"S",IF(K36&lt;=60,"M",IF(K36&lt;=120,"L","XL")))))</f>
        <v>M</v>
      </c>
    </row>
    <row r="37" customFormat="false" ht="39" hidden="false" customHeight="true" outlineLevel="0" collapsed="false">
      <c r="A37" s="8" t="n">
        <v>21</v>
      </c>
      <c r="B37" s="9" t="s">
        <v>103</v>
      </c>
      <c r="C37" s="8" t="s">
        <v>98</v>
      </c>
      <c r="D37" s="6" t="s">
        <v>104</v>
      </c>
      <c r="E37" s="15" t="s">
        <v>73</v>
      </c>
      <c r="F37" s="6" t="s">
        <v>105</v>
      </c>
      <c r="G37" s="11" t="n">
        <v>24</v>
      </c>
      <c r="H37" s="11" t="n">
        <v>40</v>
      </c>
      <c r="I37" s="8" t="str">
        <f aca="false">IF(H37=0,"-",IF(H37&lt;=8,"XS",IF(H37&lt;=24,"S",IF(H37&lt;=60,"M",IF(H37&lt;=120,"L","XL")))))</f>
        <v>M</v>
      </c>
      <c r="J37" s="11" t="n">
        <v>24</v>
      </c>
      <c r="K37" s="11" t="n">
        <v>40</v>
      </c>
      <c r="L37" s="8" t="str">
        <f aca="false">IF(K37=0,"-",IF(K37&lt;=8,"XS",IF(K37&lt;=24,"S",IF(K37&lt;=60,"M",IF(K37&lt;=120,"L","XL")))))</f>
        <v>M</v>
      </c>
    </row>
    <row r="38" customFormat="false" ht="27" hidden="false" customHeight="true" outlineLevel="0" collapsed="false">
      <c r="A38" s="8" t="n">
        <v>22</v>
      </c>
      <c r="B38" s="9" t="s">
        <v>106</v>
      </c>
      <c r="C38" s="8" t="s">
        <v>98</v>
      </c>
      <c r="D38" s="6" t="s">
        <v>107</v>
      </c>
      <c r="E38" s="15" t="s">
        <v>73</v>
      </c>
      <c r="F38" s="6" t="s">
        <v>108</v>
      </c>
      <c r="G38" s="11" t="n">
        <v>16</v>
      </c>
      <c r="H38" s="11" t="n">
        <v>24</v>
      </c>
      <c r="I38" s="8" t="str">
        <f aca="false">IF(H38=0,"-",IF(H38&lt;=8,"XS",IF(H38&lt;=24,"S",IF(H38&lt;=60,"M",IF(H38&lt;=120,"L","XL")))))</f>
        <v>S</v>
      </c>
      <c r="J38" s="11" t="n">
        <v>16</v>
      </c>
      <c r="K38" s="11" t="n">
        <v>32</v>
      </c>
      <c r="L38" s="8" t="str">
        <f aca="false">IF(K38=0,"-",IF(K38&lt;=8,"XS",IF(K38&lt;=24,"S",IF(K38&lt;=60,"M",IF(K38&lt;=120,"L","XL")))))</f>
        <v>M</v>
      </c>
    </row>
    <row r="39" customFormat="false" ht="15" hidden="false" customHeight="true" outlineLevel="0" collapsed="false">
      <c r="A39" s="8" t="n">
        <v>23</v>
      </c>
      <c r="B39" s="9" t="s">
        <v>109</v>
      </c>
      <c r="C39" s="8" t="s">
        <v>110</v>
      </c>
      <c r="D39" s="6" t="s">
        <v>104</v>
      </c>
      <c r="E39" s="14" t="s">
        <v>50</v>
      </c>
      <c r="F39" s="6" t="s">
        <v>111</v>
      </c>
      <c r="G39" s="11" t="n">
        <v>4</v>
      </c>
      <c r="H39" s="11" t="n">
        <v>8</v>
      </c>
      <c r="I39" s="8" t="str">
        <f aca="false">IF(H39=0,"-",IF(H39&lt;=8,"XS",IF(H39&lt;=24,"S",IF(H39&lt;=60,"M",IF(H39&lt;=120,"L","XL")))))</f>
        <v>XS</v>
      </c>
      <c r="J39" s="11" t="n">
        <v>4</v>
      </c>
      <c r="K39" s="11" t="n">
        <v>8</v>
      </c>
      <c r="L39" s="8" t="str">
        <f aca="false">IF(K39=0,"-",IF(K39&lt;=8,"XS",IF(K39&lt;=24,"S",IF(K39&lt;=60,"M",IF(K39&lt;=120,"L","XL")))))</f>
        <v>XS</v>
      </c>
    </row>
    <row r="40" customFormat="false" ht="39" hidden="false" customHeight="true" outlineLevel="0" collapsed="false">
      <c r="A40" s="8" t="n">
        <v>24</v>
      </c>
      <c r="B40" s="9" t="s">
        <v>112</v>
      </c>
      <c r="C40" s="8" t="s">
        <v>110</v>
      </c>
      <c r="D40" s="6" t="s">
        <v>113</v>
      </c>
      <c r="E40" s="15" t="s">
        <v>73</v>
      </c>
      <c r="F40" s="6" t="s">
        <v>114</v>
      </c>
      <c r="G40" s="11" t="n">
        <v>24</v>
      </c>
      <c r="H40" s="11" t="n">
        <v>40</v>
      </c>
      <c r="I40" s="8" t="str">
        <f aca="false">IF(H40=0,"-",IF(H40&lt;=8,"XS",IF(H40&lt;=24,"S",IF(H40&lt;=60,"M",IF(H40&lt;=120,"L","XL")))))</f>
        <v>M</v>
      </c>
      <c r="J40" s="11" t="n">
        <v>16</v>
      </c>
      <c r="K40" s="11" t="n">
        <v>32</v>
      </c>
      <c r="L40" s="8" t="str">
        <f aca="false">IF(K40=0,"-",IF(K40&lt;=8,"XS",IF(K40&lt;=24,"S",IF(K40&lt;=60,"M",IF(K40&lt;=120,"L","XL")))))</f>
        <v>M</v>
      </c>
    </row>
    <row r="41" customFormat="false" ht="27" hidden="false" customHeight="true" outlineLevel="0" collapsed="false">
      <c r="A41" s="8" t="n">
        <v>25</v>
      </c>
      <c r="B41" s="9" t="s">
        <v>115</v>
      </c>
      <c r="C41" s="8" t="s">
        <v>110</v>
      </c>
      <c r="D41" s="6" t="s">
        <v>116</v>
      </c>
      <c r="E41" s="14" t="s">
        <v>50</v>
      </c>
      <c r="F41" s="6" t="s">
        <v>117</v>
      </c>
      <c r="G41" s="11" t="n">
        <v>4</v>
      </c>
      <c r="H41" s="11" t="n">
        <v>8</v>
      </c>
      <c r="I41" s="8" t="str">
        <f aca="false">IF(H41=0,"-",IF(H41&lt;=8,"XS",IF(H41&lt;=24,"S",IF(H41&lt;=60,"M",IF(H41&lt;=120,"L","XL")))))</f>
        <v>XS</v>
      </c>
      <c r="J41" s="11" t="n">
        <v>4</v>
      </c>
      <c r="K41" s="11" t="n">
        <v>8</v>
      </c>
      <c r="L41" s="8" t="str">
        <f aca="false">IF(K41=0,"-",IF(K41&lt;=8,"XS",IF(K41&lt;=24,"S",IF(K41&lt;=60,"M",IF(K41&lt;=120,"L","XL")))))</f>
        <v>XS</v>
      </c>
    </row>
    <row r="42" customFormat="false" ht="39" hidden="false" customHeight="true" outlineLevel="0" collapsed="false">
      <c r="A42" s="8" t="n">
        <v>26</v>
      </c>
      <c r="B42" s="9" t="s">
        <v>118</v>
      </c>
      <c r="C42" s="8" t="s">
        <v>110</v>
      </c>
      <c r="D42" s="6" t="s">
        <v>119</v>
      </c>
      <c r="E42" s="15" t="s">
        <v>73</v>
      </c>
      <c r="F42" s="6" t="s">
        <v>120</v>
      </c>
      <c r="G42" s="11" t="n">
        <v>16</v>
      </c>
      <c r="H42" s="11" t="n">
        <v>32</v>
      </c>
      <c r="I42" s="8" t="str">
        <f aca="false">IF(H42=0,"-",IF(H42&lt;=8,"XS",IF(H42&lt;=24,"S",IF(H42&lt;=60,"M",IF(H42&lt;=120,"L","XL")))))</f>
        <v>M</v>
      </c>
      <c r="J42" s="11" t="n">
        <v>24</v>
      </c>
      <c r="K42" s="11" t="n">
        <v>40</v>
      </c>
      <c r="L42" s="8" t="str">
        <f aca="false">IF(K42=0,"-",IF(K42&lt;=8,"XS",IF(K42&lt;=24,"S",IF(K42&lt;=60,"M",IF(K42&lt;=120,"L","XL")))))</f>
        <v>M</v>
      </c>
    </row>
    <row r="43" customFormat="false" ht="39" hidden="false" customHeight="true" outlineLevel="0" collapsed="false">
      <c r="A43" s="8" t="n">
        <v>27</v>
      </c>
      <c r="B43" s="9" t="s">
        <v>121</v>
      </c>
      <c r="C43" s="8" t="s">
        <v>110</v>
      </c>
      <c r="D43" s="6" t="s">
        <v>122</v>
      </c>
      <c r="E43" s="15" t="s">
        <v>73</v>
      </c>
      <c r="F43" s="6" t="s">
        <v>123</v>
      </c>
      <c r="G43" s="11" t="n">
        <v>16</v>
      </c>
      <c r="H43" s="11" t="n">
        <v>24</v>
      </c>
      <c r="I43" s="8" t="str">
        <f aca="false">IF(H43=0,"-",IF(H43&lt;=8,"XS",IF(H43&lt;=24,"S",IF(H43&lt;=60,"M",IF(H43&lt;=120,"L","XL")))))</f>
        <v>S</v>
      </c>
      <c r="J43" s="11" t="n">
        <v>16</v>
      </c>
      <c r="K43" s="11" t="n">
        <v>24</v>
      </c>
      <c r="L43" s="8" t="str">
        <f aca="false">IF(K43=0,"-",IF(K43&lt;=8,"XS",IF(K43&lt;=24,"S",IF(K43&lt;=60,"M",IF(K43&lt;=120,"L","XL")))))</f>
        <v>S</v>
      </c>
    </row>
    <row r="44" customFormat="false" ht="15" hidden="false" customHeight="false" outlineLevel="0" collapsed="false">
      <c r="A44" s="17" t="s">
        <v>124</v>
      </c>
      <c r="B44" s="17"/>
      <c r="C44" s="17"/>
      <c r="D44" s="17"/>
      <c r="E44" s="17"/>
      <c r="F44" s="17"/>
      <c r="G44" s="17"/>
      <c r="H44" s="17"/>
      <c r="I44" s="17"/>
      <c r="J44" s="17"/>
      <c r="K44" s="17"/>
      <c r="L44" s="17"/>
    </row>
    <row r="46" customFormat="false" ht="19.5" hidden="false" customHeight="true" outlineLevel="0" collapsed="false">
      <c r="A46" s="3" t="s">
        <v>125</v>
      </c>
      <c r="B46" s="3"/>
      <c r="C46" s="3"/>
      <c r="D46" s="3"/>
      <c r="E46" s="3"/>
      <c r="F46" s="3"/>
      <c r="G46" s="3"/>
      <c r="H46" s="3"/>
      <c r="I46" s="3"/>
      <c r="J46" s="3"/>
      <c r="K46" s="3"/>
      <c r="L46" s="3"/>
    </row>
    <row r="47" customFormat="false" ht="25.5" hidden="false" customHeight="true" outlineLevel="0" collapsed="false">
      <c r="A47" s="4" t="s">
        <v>23</v>
      </c>
      <c r="B47" s="4" t="s">
        <v>126</v>
      </c>
      <c r="C47" s="4"/>
      <c r="D47" s="4"/>
      <c r="E47" s="4"/>
      <c r="F47" s="4" t="s">
        <v>127</v>
      </c>
      <c r="G47" s="4" t="s">
        <v>29</v>
      </c>
      <c r="H47" s="4" t="s">
        <v>30</v>
      </c>
      <c r="I47" s="4" t="s">
        <v>31</v>
      </c>
      <c r="J47" s="4" t="s">
        <v>32</v>
      </c>
      <c r="K47" s="4" t="s">
        <v>33</v>
      </c>
      <c r="L47" s="4" t="s">
        <v>34</v>
      </c>
    </row>
    <row r="48" customFormat="false" ht="27" hidden="false" customHeight="true" outlineLevel="0" collapsed="false">
      <c r="A48" s="8" t="n">
        <v>1</v>
      </c>
      <c r="B48" s="9" t="s">
        <v>128</v>
      </c>
      <c r="C48" s="9"/>
      <c r="D48" s="9"/>
      <c r="E48" s="9"/>
      <c r="F48" s="6" t="s">
        <v>129</v>
      </c>
      <c r="G48" s="11" t="n">
        <v>16</v>
      </c>
      <c r="H48" s="11" t="n">
        <v>24</v>
      </c>
      <c r="I48" s="8" t="str">
        <f aca="false">IF(H48=0,"-",IF(H48&lt;=8,"XS",IF(H48&lt;=24,"S",IF(H48&lt;=60,"M",IF(H48&lt;=120,"L","XL")))))</f>
        <v>S</v>
      </c>
      <c r="J48" s="11" t="n">
        <v>0</v>
      </c>
      <c r="K48" s="11" t="n">
        <v>0</v>
      </c>
      <c r="L48" s="8" t="str">
        <f aca="false">IF(K48=0,"-",IF(K48&lt;=8,"XS",IF(K48&lt;=24,"S",IF(K48&lt;=60,"M",IF(K48&lt;=120,"L","XL")))))</f>
        <v>-</v>
      </c>
    </row>
    <row r="49" customFormat="false" ht="27" hidden="false" customHeight="true" outlineLevel="0" collapsed="false">
      <c r="A49" s="8" t="n">
        <v>2</v>
      </c>
      <c r="B49" s="9" t="s">
        <v>130</v>
      </c>
      <c r="C49" s="9"/>
      <c r="D49" s="9"/>
      <c r="E49" s="9"/>
      <c r="F49" s="6" t="s">
        <v>131</v>
      </c>
      <c r="G49" s="11" t="n">
        <v>8</v>
      </c>
      <c r="H49" s="11" t="n">
        <v>16</v>
      </c>
      <c r="I49" s="8" t="str">
        <f aca="false">IF(H49=0,"-",IF(H49&lt;=8,"XS",IF(H49&lt;=24,"S",IF(H49&lt;=60,"M",IF(H49&lt;=120,"L","XL")))))</f>
        <v>S</v>
      </c>
      <c r="J49" s="11" t="n">
        <v>0</v>
      </c>
      <c r="K49" s="11" t="n">
        <v>0</v>
      </c>
      <c r="L49" s="8" t="str">
        <f aca="false">IF(K49=0,"-",IF(K49&lt;=8,"XS",IF(K49&lt;=24,"S",IF(K49&lt;=60,"M",IF(K49&lt;=120,"L","XL")))))</f>
        <v>-</v>
      </c>
    </row>
    <row r="50" customFormat="false" ht="15" hidden="false" customHeight="true" outlineLevel="0" collapsed="false">
      <c r="A50" s="8" t="n">
        <v>3</v>
      </c>
      <c r="B50" s="9" t="s">
        <v>132</v>
      </c>
      <c r="C50" s="9"/>
      <c r="D50" s="9"/>
      <c r="E50" s="9"/>
      <c r="F50" s="6" t="s">
        <v>133</v>
      </c>
      <c r="G50" s="11" t="n">
        <v>8</v>
      </c>
      <c r="H50" s="11" t="n">
        <v>16</v>
      </c>
      <c r="I50" s="8" t="str">
        <f aca="false">IF(H50=0,"-",IF(H50&lt;=8,"XS",IF(H50&lt;=24,"S",IF(H50&lt;=60,"M",IF(H50&lt;=120,"L","XL")))))</f>
        <v>S</v>
      </c>
      <c r="J50" s="11" t="n">
        <v>0</v>
      </c>
      <c r="K50" s="11" t="n">
        <v>0</v>
      </c>
      <c r="L50" s="8" t="str">
        <f aca="false">IF(K50=0,"-",IF(K50&lt;=8,"XS",IF(K50&lt;=24,"S",IF(K50&lt;=60,"M",IF(K50&lt;=120,"L","XL")))))</f>
        <v>-</v>
      </c>
    </row>
    <row r="51" customFormat="false" ht="27" hidden="false" customHeight="true" outlineLevel="0" collapsed="false">
      <c r="A51" s="8" t="n">
        <v>4</v>
      </c>
      <c r="B51" s="9" t="s">
        <v>134</v>
      </c>
      <c r="C51" s="9"/>
      <c r="D51" s="9"/>
      <c r="E51" s="9"/>
      <c r="F51" s="6" t="s">
        <v>135</v>
      </c>
      <c r="G51" s="11" t="n">
        <v>8</v>
      </c>
      <c r="H51" s="11" t="n">
        <v>16</v>
      </c>
      <c r="I51" s="8" t="str">
        <f aca="false">IF(H51=0,"-",IF(H51&lt;=8,"XS",IF(H51&lt;=24,"S",IF(H51&lt;=60,"M",IF(H51&lt;=120,"L","XL")))))</f>
        <v>S</v>
      </c>
      <c r="J51" s="11" t="n">
        <v>0</v>
      </c>
      <c r="K51" s="11" t="n">
        <v>0</v>
      </c>
      <c r="L51" s="8" t="str">
        <f aca="false">IF(K51=0,"-",IF(K51&lt;=8,"XS",IF(K51&lt;=24,"S",IF(K51&lt;=60,"M",IF(K51&lt;=120,"L","XL")))))</f>
        <v>-</v>
      </c>
    </row>
    <row r="52" customFormat="false" ht="27" hidden="false" customHeight="true" outlineLevel="0" collapsed="false">
      <c r="A52" s="8" t="n">
        <v>5</v>
      </c>
      <c r="B52" s="9" t="s">
        <v>136</v>
      </c>
      <c r="C52" s="9"/>
      <c r="D52" s="9"/>
      <c r="E52" s="9"/>
      <c r="F52" s="6" t="s">
        <v>137</v>
      </c>
      <c r="G52" s="11" t="n">
        <v>24</v>
      </c>
      <c r="H52" s="11" t="n">
        <v>40</v>
      </c>
      <c r="I52" s="8" t="str">
        <f aca="false">IF(H52=0,"-",IF(H52&lt;=8,"XS",IF(H52&lt;=24,"S",IF(H52&lt;=60,"M",IF(H52&lt;=120,"L","XL")))))</f>
        <v>M</v>
      </c>
      <c r="J52" s="11" t="n">
        <v>0</v>
      </c>
      <c r="K52" s="11" t="n">
        <v>0</v>
      </c>
      <c r="L52" s="8" t="str">
        <f aca="false">IF(K52=0,"-",IF(K52&lt;=8,"XS",IF(K52&lt;=24,"S",IF(K52&lt;=60,"M",IF(K52&lt;=120,"L","XL")))))</f>
        <v>-</v>
      </c>
    </row>
    <row r="53" customFormat="false" ht="27" hidden="false" customHeight="true" outlineLevel="0" collapsed="false">
      <c r="A53" s="8" t="n">
        <v>6</v>
      </c>
      <c r="B53" s="9" t="s">
        <v>138</v>
      </c>
      <c r="C53" s="9"/>
      <c r="D53" s="9"/>
      <c r="E53" s="9"/>
      <c r="F53" s="6" t="s">
        <v>139</v>
      </c>
      <c r="G53" s="11" t="n">
        <v>16</v>
      </c>
      <c r="H53" s="11" t="n">
        <v>32</v>
      </c>
      <c r="I53" s="8" t="str">
        <f aca="false">IF(H53=0,"-",IF(H53&lt;=8,"XS",IF(H53&lt;=24,"S",IF(H53&lt;=60,"M",IF(H53&lt;=120,"L","XL")))))</f>
        <v>M</v>
      </c>
      <c r="J53" s="11" t="n">
        <v>0</v>
      </c>
      <c r="K53" s="11" t="n">
        <v>0</v>
      </c>
      <c r="L53" s="8" t="str">
        <f aca="false">IF(K53=0,"-",IF(K53&lt;=8,"XS",IF(K53&lt;=24,"S",IF(K53&lt;=60,"M",IF(K53&lt;=120,"L","XL")))))</f>
        <v>-</v>
      </c>
    </row>
    <row r="54" customFormat="false" ht="27" hidden="false" customHeight="true" outlineLevel="0" collapsed="false">
      <c r="A54" s="8" t="n">
        <v>7</v>
      </c>
      <c r="B54" s="9" t="s">
        <v>140</v>
      </c>
      <c r="C54" s="9"/>
      <c r="D54" s="9"/>
      <c r="E54" s="9"/>
      <c r="F54" s="6" t="s">
        <v>141</v>
      </c>
      <c r="G54" s="11" t="n">
        <v>8</v>
      </c>
      <c r="H54" s="11" t="n">
        <v>16</v>
      </c>
      <c r="I54" s="8" t="str">
        <f aca="false">IF(H54=0,"-",IF(H54&lt;=8,"XS",IF(H54&lt;=24,"S",IF(H54&lt;=60,"M",IF(H54&lt;=120,"L","XL")))))</f>
        <v>S</v>
      </c>
      <c r="J54" s="11" t="n">
        <v>0</v>
      </c>
      <c r="K54" s="11" t="n">
        <v>0</v>
      </c>
      <c r="L54" s="8" t="str">
        <f aca="false">IF(K54=0,"-",IF(K54&lt;=8,"XS",IF(K54&lt;=24,"S",IF(K54&lt;=60,"M",IF(K54&lt;=120,"L","XL")))))</f>
        <v>-</v>
      </c>
    </row>
    <row r="55" customFormat="false" ht="27" hidden="false" customHeight="true" outlineLevel="0" collapsed="false">
      <c r="A55" s="8" t="n">
        <v>8</v>
      </c>
      <c r="B55" s="9" t="s">
        <v>142</v>
      </c>
      <c r="C55" s="9"/>
      <c r="D55" s="9"/>
      <c r="E55" s="9"/>
      <c r="F55" s="6" t="s">
        <v>143</v>
      </c>
      <c r="G55" s="11" t="n">
        <v>0</v>
      </c>
      <c r="H55" s="11" t="n">
        <v>0</v>
      </c>
      <c r="I55" s="8" t="str">
        <f aca="false">IF(H55=0,"-",IF(H55&lt;=8,"XS",IF(H55&lt;=24,"S",IF(H55&lt;=60,"M",IF(H55&lt;=120,"L","XL")))))</f>
        <v>-</v>
      </c>
      <c r="J55" s="11" t="n">
        <v>24</v>
      </c>
      <c r="K55" s="11" t="n">
        <v>40</v>
      </c>
      <c r="L55" s="8" t="str">
        <f aca="false">IF(K55=0,"-",IF(K55&lt;=8,"XS",IF(K55&lt;=24,"S",IF(K55&lt;=60,"M",IF(K55&lt;=120,"L","XL")))))</f>
        <v>M</v>
      </c>
    </row>
    <row r="57" customFormat="false" ht="19.5" hidden="false" customHeight="true" outlineLevel="0" collapsed="false">
      <c r="A57" s="3" t="s">
        <v>144</v>
      </c>
      <c r="B57" s="3"/>
      <c r="C57" s="3"/>
      <c r="D57" s="3"/>
      <c r="E57" s="3"/>
      <c r="F57" s="3"/>
      <c r="G57" s="3"/>
      <c r="H57" s="3"/>
      <c r="I57" s="3"/>
      <c r="J57" s="3"/>
      <c r="K57" s="3"/>
      <c r="L57" s="3"/>
    </row>
    <row r="58" customFormat="false" ht="25.5" hidden="false" customHeight="true" outlineLevel="0" collapsed="false">
      <c r="A58" s="18" t="s">
        <v>145</v>
      </c>
      <c r="B58" s="18"/>
      <c r="C58" s="18"/>
      <c r="D58" s="18"/>
      <c r="E58" s="18"/>
      <c r="F58" s="18"/>
      <c r="G58" s="4" t="s">
        <v>146</v>
      </c>
      <c r="H58" s="4" t="s">
        <v>147</v>
      </c>
      <c r="I58" s="4"/>
      <c r="J58" s="4" t="s">
        <v>148</v>
      </c>
      <c r="K58" s="4" t="s">
        <v>149</v>
      </c>
      <c r="L58" s="4"/>
    </row>
    <row r="59" customFormat="false" ht="15" hidden="false" customHeight="true" outlineLevel="0" collapsed="false">
      <c r="A59" s="6" t="s">
        <v>150</v>
      </c>
      <c r="B59" s="6"/>
      <c r="C59" s="6"/>
      <c r="D59" s="6"/>
      <c r="E59" s="6"/>
      <c r="F59" s="6"/>
      <c r="G59" s="19" t="n">
        <f aca="false">SUM(G48:G55)</f>
        <v>88</v>
      </c>
      <c r="H59" s="19" t="n">
        <f aca="false">SUM(H48:H55)</f>
        <v>160</v>
      </c>
      <c r="I59" s="8"/>
      <c r="J59" s="19" t="n">
        <f aca="false">SUM(J48:J55)</f>
        <v>24</v>
      </c>
      <c r="K59" s="19" t="n">
        <f aca="false">SUM(K48:K55)</f>
        <v>40</v>
      </c>
      <c r="L59" s="8"/>
    </row>
    <row r="60" customFormat="false" ht="15" hidden="false" customHeight="true" outlineLevel="0" collapsed="false">
      <c r="A60" s="6" t="s">
        <v>151</v>
      </c>
      <c r="B60" s="6"/>
      <c r="C60" s="6"/>
      <c r="D60" s="6"/>
      <c r="E60" s="6"/>
      <c r="F60" s="6"/>
      <c r="G60" s="19" t="n">
        <f aca="false">SUMIF(E17:E43,"&lt;&gt;Decision needed",G17:G43)</f>
        <v>388</v>
      </c>
      <c r="H60" s="19" t="n">
        <f aca="false">SUMIF(E17:E43,"&lt;&gt;Decision needed",H17:H43)</f>
        <v>688</v>
      </c>
      <c r="I60" s="8"/>
      <c r="J60" s="19" t="n">
        <f aca="false">SUMIF(E17:E43,"&lt;&gt;Decision needed",J17:J43)</f>
        <v>398</v>
      </c>
      <c r="K60" s="19" t="n">
        <f aca="false">SUMIF(E17:E43,"&lt;&gt;Decision needed",K17:K43)</f>
        <v>720</v>
      </c>
      <c r="L60" s="8"/>
    </row>
    <row r="61" customFormat="false" ht="15" hidden="false" customHeight="true" outlineLevel="0" collapsed="false">
      <c r="A61" s="20" t="s">
        <v>152</v>
      </c>
      <c r="B61" s="20"/>
      <c r="C61" s="20"/>
      <c r="D61" s="20"/>
      <c r="E61" s="20"/>
      <c r="F61" s="20"/>
      <c r="G61" s="21" t="n">
        <f aca="false">G59+G60</f>
        <v>476</v>
      </c>
      <c r="H61" s="21" t="n">
        <f aca="false">H59+H60</f>
        <v>848</v>
      </c>
      <c r="I61" s="22"/>
      <c r="J61" s="21" t="n">
        <f aca="false">J59+J60</f>
        <v>422</v>
      </c>
      <c r="K61" s="21" t="n">
        <f aca="false">K59+K60</f>
        <v>760</v>
      </c>
      <c r="L61" s="22"/>
    </row>
    <row r="62" customFormat="false" ht="15" hidden="false" customHeight="true" outlineLevel="0" collapsed="false">
      <c r="A62" s="6" t="s">
        <v>153</v>
      </c>
      <c r="B62" s="6"/>
      <c r="C62" s="6"/>
      <c r="D62" s="6"/>
      <c r="E62" s="6"/>
      <c r="F62" s="6"/>
      <c r="G62" s="19" t="n">
        <f aca="false">SUMIF(E17:E43,"Decision needed",G17:G43)</f>
        <v>120</v>
      </c>
      <c r="H62" s="19" t="n">
        <f aca="false">SUMIF(E17:E43,"Decision needed",H17:H43)</f>
        <v>200</v>
      </c>
      <c r="I62" s="8"/>
      <c r="J62" s="19" t="n">
        <f aca="false">SUMIF(E17:E43,"Decision needed",J17:J43)</f>
        <v>80</v>
      </c>
      <c r="K62" s="19" t="n">
        <f aca="false">SUMIF(E17:E43,"Decision needed",K17:K43)</f>
        <v>120</v>
      </c>
      <c r="L62" s="8"/>
    </row>
    <row r="63" customFormat="false" ht="15" hidden="false" customHeight="true" outlineLevel="0" collapsed="false">
      <c r="A63" s="20" t="s">
        <v>154</v>
      </c>
      <c r="B63" s="20"/>
      <c r="C63" s="20"/>
      <c r="D63" s="20"/>
      <c r="E63" s="20"/>
      <c r="F63" s="20"/>
      <c r="G63" s="21" t="n">
        <f aca="false">G61+G62</f>
        <v>596</v>
      </c>
      <c r="H63" s="21" t="n">
        <f aca="false">H61+H62</f>
        <v>1048</v>
      </c>
      <c r="I63" s="22"/>
      <c r="J63" s="21" t="n">
        <f aca="false">J61+J62</f>
        <v>502</v>
      </c>
      <c r="K63" s="21" t="n">
        <f aca="false">K61+K62</f>
        <v>880</v>
      </c>
      <c r="L63" s="22"/>
    </row>
    <row r="64" customFormat="false" ht="18" hidden="false" customHeight="true" outlineLevel="0" collapsed="false">
      <c r="A64" s="23" t="str">
        <f aca="false">"Grand total excluding PKI: "&amp;TEXT(G61+J61,"#,##0")&amp;"-"&amp;TEXT(H61+K61,"#,##0")&amp;" hrs (about "&amp;ROUND((G61+J61)/8,0)&amp;"-"&amp;ROUND((H61+K61)/8,0)&amp;" person-days).   Including PKI placeholder: "&amp;TEXT(G63+J63,"#,##0")&amp;"-"&amp;TEXT(H63+K63,"#,##0")&amp;" hrs."</f>
        <v>Grand total excluding PKI: 898-1,608 hrs (about 112-201 person-days).   Including PKI placeholder: 1,098-1,928 hrs.</v>
      </c>
      <c r="B64" s="23"/>
      <c r="C64" s="23"/>
      <c r="D64" s="23"/>
      <c r="E64" s="23"/>
      <c r="F64" s="23"/>
      <c r="G64" s="23"/>
      <c r="H64" s="23"/>
      <c r="I64" s="23"/>
      <c r="J64" s="23"/>
      <c r="K64" s="23"/>
      <c r="L64" s="23"/>
    </row>
    <row r="66" customFormat="false" ht="19.5" hidden="false" customHeight="true" outlineLevel="0" collapsed="false">
      <c r="A66" s="3" t="s">
        <v>155</v>
      </c>
      <c r="B66" s="3"/>
      <c r="C66" s="3"/>
      <c r="D66" s="3"/>
      <c r="E66" s="3"/>
      <c r="F66" s="3"/>
      <c r="G66" s="3"/>
      <c r="H66" s="3"/>
      <c r="I66" s="3"/>
      <c r="J66" s="3"/>
      <c r="K66" s="3"/>
      <c r="L66" s="3"/>
    </row>
    <row r="67" customFormat="false" ht="27" hidden="false" customHeight="true" outlineLevel="0" collapsed="false">
      <c r="A67" s="9" t="s">
        <v>156</v>
      </c>
      <c r="B67" s="9"/>
      <c r="C67" s="9"/>
      <c r="D67" s="9"/>
      <c r="E67" s="6" t="s">
        <v>157</v>
      </c>
      <c r="F67" s="6"/>
      <c r="G67" s="6"/>
      <c r="H67" s="6"/>
      <c r="I67" s="6"/>
      <c r="J67" s="6"/>
      <c r="K67" s="6"/>
      <c r="L67" s="6"/>
    </row>
    <row r="68" customFormat="false" ht="27" hidden="false" customHeight="true" outlineLevel="0" collapsed="false">
      <c r="A68" s="9" t="s">
        <v>158</v>
      </c>
      <c r="B68" s="9"/>
      <c r="C68" s="9"/>
      <c r="D68" s="9"/>
      <c r="E68" s="6" t="s">
        <v>159</v>
      </c>
      <c r="F68" s="6"/>
      <c r="G68" s="6"/>
      <c r="H68" s="6"/>
      <c r="I68" s="6"/>
      <c r="J68" s="6"/>
      <c r="K68" s="6"/>
      <c r="L68" s="6"/>
    </row>
    <row r="69" customFormat="false" ht="27" hidden="false" customHeight="true" outlineLevel="0" collapsed="false">
      <c r="A69" s="9" t="s">
        <v>160</v>
      </c>
      <c r="B69" s="9"/>
      <c r="C69" s="9"/>
      <c r="D69" s="9"/>
      <c r="E69" s="6" t="s">
        <v>161</v>
      </c>
      <c r="F69" s="6"/>
      <c r="G69" s="6"/>
      <c r="H69" s="6"/>
      <c r="I69" s="6"/>
      <c r="J69" s="6"/>
      <c r="K69" s="6"/>
      <c r="L69" s="6"/>
    </row>
    <row r="70" customFormat="false" ht="27" hidden="false" customHeight="true" outlineLevel="0" collapsed="false">
      <c r="A70" s="9" t="s">
        <v>162</v>
      </c>
      <c r="B70" s="9"/>
      <c r="C70" s="9"/>
      <c r="D70" s="9"/>
      <c r="E70" s="6" t="s">
        <v>163</v>
      </c>
      <c r="F70" s="6"/>
      <c r="G70" s="6"/>
      <c r="H70" s="6"/>
      <c r="I70" s="6"/>
      <c r="J70" s="6"/>
      <c r="K70" s="6"/>
      <c r="L70" s="6"/>
    </row>
    <row r="71" customFormat="false" ht="27" hidden="false" customHeight="true" outlineLevel="0" collapsed="false">
      <c r="A71" s="9" t="s">
        <v>164</v>
      </c>
      <c r="B71" s="9"/>
      <c r="C71" s="9"/>
      <c r="D71" s="9"/>
      <c r="E71" s="6" t="s">
        <v>165</v>
      </c>
      <c r="F71" s="6"/>
      <c r="G71" s="6"/>
      <c r="H71" s="6"/>
      <c r="I71" s="6"/>
      <c r="J71" s="6"/>
      <c r="K71" s="6"/>
      <c r="L71" s="6"/>
    </row>
    <row r="72" customFormat="false" ht="27" hidden="false" customHeight="true" outlineLevel="0" collapsed="false">
      <c r="A72" s="9" t="s">
        <v>166</v>
      </c>
      <c r="B72" s="9"/>
      <c r="C72" s="9"/>
      <c r="D72" s="9"/>
      <c r="E72" s="6" t="s">
        <v>167</v>
      </c>
      <c r="F72" s="6"/>
      <c r="G72" s="6"/>
      <c r="H72" s="6"/>
      <c r="I72" s="6"/>
      <c r="J72" s="6"/>
      <c r="K72" s="6"/>
      <c r="L72" s="6"/>
    </row>
    <row r="74" customFormat="false" ht="24" hidden="false" customHeight="true" outlineLevel="0" collapsed="false">
      <c r="A74" s="24" t="s">
        <v>168</v>
      </c>
      <c r="B74" s="24"/>
      <c r="C74" s="24"/>
      <c r="D74" s="24"/>
      <c r="E74" s="24"/>
      <c r="F74" s="24"/>
      <c r="G74" s="24"/>
      <c r="H74" s="24"/>
      <c r="I74" s="24"/>
      <c r="J74" s="24"/>
      <c r="K74" s="24"/>
      <c r="L74" s="24"/>
    </row>
  </sheetData>
  <mergeCells count="57">
    <mergeCell ref="A1:L1"/>
    <mergeCell ref="A2:L2"/>
    <mergeCell ref="A4:L4"/>
    <mergeCell ref="A5:C5"/>
    <mergeCell ref="D5:E5"/>
    <mergeCell ref="F5:L5"/>
    <mergeCell ref="A6:C6"/>
    <mergeCell ref="D6:E6"/>
    <mergeCell ref="F6:L6"/>
    <mergeCell ref="A7:C7"/>
    <mergeCell ref="D7:E7"/>
    <mergeCell ref="F7:L7"/>
    <mergeCell ref="A8:C8"/>
    <mergeCell ref="D8:E8"/>
    <mergeCell ref="F8:L8"/>
    <mergeCell ref="A9:C9"/>
    <mergeCell ref="D9:E9"/>
    <mergeCell ref="F9:L9"/>
    <mergeCell ref="A10:C10"/>
    <mergeCell ref="D10:E10"/>
    <mergeCell ref="F10:L10"/>
    <mergeCell ref="A12:L12"/>
    <mergeCell ref="A13:L13"/>
    <mergeCell ref="A15:L15"/>
    <mergeCell ref="A44:L44"/>
    <mergeCell ref="A46:L46"/>
    <mergeCell ref="B47:E47"/>
    <mergeCell ref="B48:E48"/>
    <mergeCell ref="B49:E49"/>
    <mergeCell ref="B50:E50"/>
    <mergeCell ref="B51:E51"/>
    <mergeCell ref="B52:E52"/>
    <mergeCell ref="B53:E53"/>
    <mergeCell ref="B54:E54"/>
    <mergeCell ref="B55:E55"/>
    <mergeCell ref="A57:L57"/>
    <mergeCell ref="A58:F58"/>
    <mergeCell ref="A59:F59"/>
    <mergeCell ref="A60:F60"/>
    <mergeCell ref="A61:F61"/>
    <mergeCell ref="A62:F62"/>
    <mergeCell ref="A63:F63"/>
    <mergeCell ref="A64:L64"/>
    <mergeCell ref="A66:L66"/>
    <mergeCell ref="A67:D67"/>
    <mergeCell ref="E67:L67"/>
    <mergeCell ref="A68:D68"/>
    <mergeCell ref="E68:L68"/>
    <mergeCell ref="A69:D69"/>
    <mergeCell ref="E69:L69"/>
    <mergeCell ref="A70:D70"/>
    <mergeCell ref="E70:L70"/>
    <mergeCell ref="A71:D71"/>
    <mergeCell ref="E71:L71"/>
    <mergeCell ref="A72:D72"/>
    <mergeCell ref="E72:L72"/>
    <mergeCell ref="A74:L74"/>
  </mergeCells>
  <printOptions headings="false" gridLines="false" gridLinesSet="true" horizontalCentered="true" verticalCentered="false"/>
  <pageMargins left="0.3" right="0.3"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2026-10-21T10:36:03Z</dcterms:created>
  <dc:creator>openpyxl</dc:creator>
  <dc:description/>
  <dc:language>en-US</dc:language>
  <cp:lastModifiedBy/>
  <dcterms:modified xsi:type="dcterms:W3CDTF">2026-10-21T10:36:03Z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
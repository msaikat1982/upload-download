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tra DS Impact" sheetId="1" state="visible" r:id="rId3"/>
  </sheets>
  <definedNames>
    <definedName function="false" hidden="false" localSheetId="0" name="_xlnm.Print_Area" vbProcedure="false">'Entra DS Impact'!$A$1:$M$74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<sst xmlns="http://schemas.openxmlformats.org/spreadsheetml/2006/main" count="250" uniqueCount="197">
  <si>
    <t xml:space="preserve">Entra ID Domain Services - Impact Assessment (Waves 1-4)</t>
  </si>
  <si>
    <t xml:space="preserve">GEHA Data Centre Exit | First-cut estimate | Prepared by Saikat Majumdar, CitiusTech | 22 October 2026 | Draft v0.2</t>
  </si>
  <si>
    <t xml:space="preserve">Entra ID vs Entra Domain Services</t>
  </si>
  <si>
    <t xml:space="preserve">Entra ID</t>
  </si>
  <si>
    <t xml:space="preserve">Entra Domain Services</t>
  </si>
  <si>
    <t xml:space="preserve">What it is</t>
  </si>
  <si>
    <t xml:space="preserve">Cloud identity provider (already in use at GEHA)</t>
  </si>
  <si>
    <t xml:space="preserve">Managed AD-compatible domain, run by Microsoft, built from Entra ID</t>
  </si>
  <si>
    <t xml:space="preserve">Protocols</t>
  </si>
  <si>
    <t xml:space="preserve">SAML, OIDC, OAuth</t>
  </si>
  <si>
    <t xml:space="preserve">Kerberos, NTLM, LDAP / LDAPS</t>
  </si>
  <si>
    <t xml:space="preserve">Device model</t>
  </si>
  <si>
    <t xml:space="preserve">Entra joined; managed by Intune</t>
  </si>
  <si>
    <t xml:space="preserve">Domain-joined servers; managed by Group Policy</t>
  </si>
  <si>
    <t xml:space="preserve">Admin rights</t>
  </si>
  <si>
    <t xml:space="preserve">Entra roles</t>
  </si>
  <si>
    <t xml:space="preserve">AAD DC Administrators only; no Domain or Enterprise Admin; no schema changes</t>
  </si>
  <si>
    <t xml:space="preserve">Best fit</t>
  </si>
  <si>
    <t xml:space="preserve">SaaS apps, web SSO, end-user devices</t>
  </si>
  <si>
    <t xml:space="preserve">Lift-and-shift servers and legacy apps that need a domain</t>
  </si>
  <si>
    <t xml:space="preserve">Effort basis</t>
  </si>
  <si>
    <t xml:space="preserve">Hours cover Entra DS-specific work only, over and above the migration effort already in each playbook. (a) Configuration: domain join, LDAPS re-pointing, GPOs, service accounts, SPNs, delegation. (b) Testing: sign-in for each user group, service and batch accounts, GPO application, functional smoke tests. T-shirt size is driven by the high end of the range:  XS up to 8 hrs  |  S 8-24  |  M 24-60  |  L 60-120  |  XL 120+</t>
  </si>
  <si>
    <t xml:space="preserve">Application impact list (Waves 1-4)</t>
  </si>
  <si>
    <t xml:space="preserve">#</t>
  </si>
  <si>
    <t xml:space="preserve">Application</t>
  </si>
  <si>
    <t xml:space="preserve">Wave</t>
  </si>
  <si>
    <t xml:space="preserve">Target (per playbook)</t>
  </si>
  <si>
    <t xml:space="preserve">Directory need</t>
  </si>
  <si>
    <t xml:space="preserve">Why (from playbook evidence)</t>
  </si>
  <si>
    <t xml:space="preserve">What This Means for GEHA (Plain-Language Summary)</t>
  </si>
  <si>
    <t xml:space="preserve">Config hrs (low)</t>
  </si>
  <si>
    <t xml:space="preserve">Config hrs (high)</t>
  </si>
  <si>
    <t xml:space="preserve">Config size</t>
  </si>
  <si>
    <t xml:space="preserve">Test hrs (low)</t>
  </si>
  <si>
    <t xml:space="preserve">Test hrs (high)</t>
  </si>
  <si>
    <t xml:space="preserve">Test size</t>
  </si>
  <si>
    <t xml:space="preserve">CyberArk PAS</t>
  </si>
  <si>
    <t xml:space="preserve">W1</t>
  </si>
  <si>
    <t xml:space="preserve">Rehost to Azure IaaS</t>
  </si>
  <si>
    <t xml:space="preserve">Entra DS - High</t>
  </si>
  <si>
    <t xml:space="preserve">Vault already runs as CyberArk Privilege Cloud (SaaS); the CPM/PSM connector and CCP servers move. They are domain-joined and use LDAP 389 / GC 3268 for authentication, user lookup and authorisation; PSM relies on hardening GPOs; CPM rotates domain accounts. Re-point to LDAPS on Entra DS, rebuild hardening GPOs in a custom OU, recreate service accounts and admin groups.</t>
  </si>
  <si>
    <t xml:space="preserve">CyberArk guards and records the use of GEHA's high-privilege "master key" accounts. Its servers currently check who people are against the old in-house directory; after the move they must check against the new Microsoft-run directory. Its server security settings have to be rebuilt, and the list of master-key accounts it protects will change. Because it protects every other system, it needs careful set-up and thorough testing.</t>
  </si>
  <si>
    <t xml:space="preserve">Turbonomic</t>
  </si>
  <si>
    <t xml:space="preserve">Lift and shift / AKS (sources differ)</t>
  </si>
  <si>
    <t xml:space="preserve">Entra ID only</t>
  </si>
  <si>
    <t xml:space="preserve">UI login is LDAP/AD today. Move UI sign-in to Entra ID SAML; no domain join needed. LDAPS to Entra DS is the fallback if SAML is not taken up.</t>
  </si>
  <si>
    <t xml:space="preserve">Turbonomic only needs to know who is logging in. Instead of the old directory, it can use the same Microsoft single sign-on GEHA already uses for its cloud applications. No extra directory work is needed; this is a small change.</t>
  </si>
  <si>
    <t xml:space="preserve">INTERNAL PKI</t>
  </si>
  <si>
    <t xml:space="preserve">Rehost (AD CS)</t>
  </si>
  <si>
    <t xml:space="preserve">Decision needed</t>
  </si>
  <si>
    <t xml:space="preserve">Enterprise CA publishes templates, CDP/AIA and NTAuth into the AD configuration partition and drives auto-enrolment through GPO. This needs Enterprise Admin rights, which Entra DS does not grant. Options: a small self-managed AD DS in Azure for PKI only, or a cloud PKI. Figure shown is a placeholder until the option is chosen.</t>
  </si>
  <si>
    <t xml:space="preserve">This is GEHA's in-house "certificate office", which issues the digital ID cards servers use to trust each other. It is built so deeply into the old directory that the new Microsoft-run directory cannot host it. GEHA needs to choose a new home for it (a small private directory just for this, or a cloud certificate service) before it can be planned properly. Several other applications depend on this decision.</t>
  </si>
  <si>
    <t xml:space="preserve">Utility</t>
  </si>
  <si>
    <t xml:space="preserve">Rehost (8 jump boxes, WS2025)</t>
  </si>
  <si>
    <t xml:space="preserve">Entra DS - Low</t>
  </si>
  <si>
    <t xml:space="preserve">Shared admin jump boxes running support tools and scheduled jobs; LDAP 389 observed. Needs domain join, admin GPO and scheduled-task accounts. Could be Entra ID joined instead if none of the tools need Kerberos.</t>
  </si>
  <si>
    <t xml:space="preserve">These are shared admin servers that support staff log in to for tools and scheduled jobs. Those tools expect the servers to belong to a company domain, so the servers will join the new directory and the job accounts will be recreated. Small, repeatable work across eight servers.</t>
  </si>
  <si>
    <t xml:space="preserve">Venafi</t>
  </si>
  <si>
    <t xml:space="preserve">Repurchase - Venafi SaaS</t>
  </si>
  <si>
    <t xml:space="preserve">Already on Entra ID SSO; on-prem hosts retire. Indirect link only: the Microsoft CA connector follows the PKI decision.</t>
  </si>
  <si>
    <t xml:space="preserve">Venafi is moving to the vendor's cloud and staff already log in with Microsoft single sign-on, so nothing changes for users. The only link is how it requests certificates from the in-house certificate office, which follows the PKI decision.</t>
  </si>
  <si>
    <t xml:space="preserve">Archer</t>
  </si>
  <si>
    <t xml:space="preserve">Repurchase - Archer SaaS</t>
  </si>
  <si>
    <t xml:space="preserve">SSO and LDAP today; SaaS target signs in through Entra ID SAML. LDAP sync does not carry over to SaaS.</t>
  </si>
  <si>
    <t xml:space="preserve">Archer is moving to the vendor's cloud. Staff will log in with Microsoft single sign-on, which GEHA already has. No directory work is needed beyond a login check.</t>
  </si>
  <si>
    <t xml:space="preserve">OnBase</t>
  </si>
  <si>
    <t xml:space="preserve">Replatform - Azure VMs + SQL MI</t>
  </si>
  <si>
    <t xml:space="preserve">30+ app, web, processing and full-text servers domain-joined; user authentication method not yet confirmed (IWA or LDAP likely); service accounts; repository on Azure Files over SMB needs Entra DS identity.</t>
  </si>
  <si>
    <t xml:space="preserve">OnBase holds GEHA's documents and runs on about 30 servers. Today, people's access to it, and the servers' access to stored documents, depend on the old directory. All of these servers must join the new directory, access groups and service accounts must be recreated, and document storage permissions must be checked. It is one of the largest items because of the number of servers and users involved.</t>
  </si>
  <si>
    <t xml:space="preserve">Veracore</t>
  </si>
  <si>
    <t xml:space="preserve">W2</t>
  </si>
  <si>
    <t xml:space="preserve">Repurchase - Veracore SaaS</t>
  </si>
  <si>
    <t xml:space="preserve">AD authentication today. SaaS moves to Entra ID SSO if the vendor supports it, otherwise vendor-local accounts.</t>
  </si>
  <si>
    <t xml:space="preserve">Veracore is moving to the vendor's cloud, which cannot use GEHA's in-house directory. Staff will log in with Microsoft single sign-on if the vendor supports it, or with accounts the vendor manages. No directory work is needed on GEHA's side.</t>
  </si>
  <si>
    <t xml:space="preserve">Cohesity</t>
  </si>
  <si>
    <t xml:space="preserve">Repurchase (SaaS)</t>
  </si>
  <si>
    <t xml:space="preserve">Console via Entra ID SSO. Minor touch: backup of domain-joined VMs and SMB shares needs a backup service account created in Entra DS.</t>
  </si>
  <si>
    <t xml:space="preserve">Cohesity is GEHA's backup service and is moving to the vendor's cloud. Staff log in with Microsoft single sign-on. One backup account must be created in the new directory so backups of servers and file shares keep working.</t>
  </si>
  <si>
    <t xml:space="preserve">LiteSpeed</t>
  </si>
  <si>
    <t xml:space="preserve">Replace</t>
  </si>
  <si>
    <t xml:space="preserve">Tool is replaced, so no direct impact. The SQL estate it protects (74 servers) is fully domain-joined with Windows Integrated Auth; that load is counted against each database application.</t>
  </si>
  <si>
    <t xml:space="preserve">LiteSpeed is being replaced, so it needs no work. The database servers it backed up do rely on the directory for logins; that work is counted against each application that uses those databases.</t>
  </si>
  <si>
    <t xml:space="preserve">UiPath</t>
  </si>
  <si>
    <t xml:space="preserve">ReArchitect - UiPath cloud robots</t>
  </si>
  <si>
    <t xml:space="preserve">Entra DS - Medium</t>
  </si>
  <si>
    <t xml:space="preserve">Orchestrator is already in Automation Cloud on Entra ID. 14 prod / 39 non-prod unattended robots log on with domain accounts and drive domain-joined apps and shares. Robot accounts and credential assets must be recreated against Entra DS, with a network path from the robot hosts.</t>
  </si>
  <si>
    <t xml:space="preserve">UiPath runs GEHA's software robots, which log in to systems the way a person would. Their robot accounts and stored passwords must be set up against the new directory. Most of the effort is testing: each of the 20+ automated processes must be run end to end to prove it still works.</t>
  </si>
  <si>
    <t xml:space="preserve">Cyber Recruiter</t>
  </si>
  <si>
    <t xml:space="preserve">Rehost (IIS + SQL, audit data)</t>
  </si>
  <si>
    <t xml:space="preserve">Single IIS host; domain join and Windows authentication for audit users.</t>
  </si>
  <si>
    <t xml:space="preserve">An old recruitment system kept for audit records, running on one server. The server joins the new directory and the small group of audit users keeps its access.</t>
  </si>
  <si>
    <t xml:space="preserve">Deltek</t>
  </si>
  <si>
    <t xml:space="preserve">Replatform (decommissioned, data kept)</t>
  </si>
  <si>
    <t xml:space="preserve">Database on SQLMAIN shared instance; read-only access group and any retained host need domain join.</t>
  </si>
  <si>
    <t xml:space="preserve">Deltek is no longer in active use; only its data is kept. The few people who still read that data need their access to work against the new directory. Very small.</t>
  </si>
  <si>
    <t xml:space="preserve">GEHA Toolbox</t>
  </si>
  <si>
    <t xml:space="preserve">Retire</t>
  </si>
  <si>
    <t xml:space="preserve">None</t>
  </si>
  <si>
    <t xml:space="preserve">Retired; no directory work.</t>
  </si>
  <si>
    <t xml:space="preserve">Being retired, so no directory work is needed.</t>
  </si>
  <si>
    <t xml:space="preserve">GEHADATA</t>
  </si>
  <si>
    <t xml:space="preserve">Rehost vs Replatform (conflict)</t>
  </si>
  <si>
    <t xml:space="preserve">Database on SQLMAIN shared instance; Windows logins move with the instance. If it goes to Azure SQL PaaS, Entra ID authentication replaces this.</t>
  </si>
  <si>
    <t xml:space="preserve">A small database used for FEDVIP dental rates. If it stays on its current database server, logins move with that server to the new directory. If it moves to Microsoft's managed database service, it uses Microsoft sign-in instead. Small either way.</t>
  </si>
  <si>
    <t xml:space="preserve">NETA</t>
  </si>
  <si>
    <t xml:space="preserve">Rehost (SQLRPT shared instance)</t>
  </si>
  <si>
    <t xml:space="preserve">LDAP 389 observed; Windows logins on the shared instance.</t>
  </si>
  <si>
    <t xml:space="preserve">A database application on a shared database server. Its user logins need to work against the new directory once that server moves. Small.</t>
  </si>
  <si>
    <t xml:space="preserve">SSRS</t>
  </si>
  <si>
    <t xml:space="preserve">Rehost (SQLRPT)</t>
  </si>
  <si>
    <t xml:space="preserve">Windows auth to the report portal, SPNs, Kerberos delegation to data sources (double hop). Entra DS supports resource-based KCD only, so delegation is rebuilt. Folder security on AD groups; file-share subscriptions.</t>
  </si>
  <si>
    <t xml:space="preserve">SSRS produces GEHA's regulatory and business reports. It uses staff Windows logins and passes them through to the databases behind each report. The new directory handles that pass-through differently, and some of those databases stay on-premises for a while with no link between the old and new directories, so the connections must be reworked and a range of reports retested.</t>
  </si>
  <si>
    <t xml:space="preserve">MOVEit Transfer</t>
  </si>
  <si>
    <t xml:space="preserve">MOVEit Cloud (register says lift and shift)</t>
  </si>
  <si>
    <t xml:space="preserve">Playbook target is MOVEit Cloud federated to Entra ID. If it is lift and shift to Azure IaaS instead, internal user auth moves to LDAPS on Entra DS (add roughly 24-40 hrs).</t>
  </si>
  <si>
    <t xml:space="preserve">MOVEit is used to exchange files with trading partners. If it moves to the vendor's cloud as the playbook plans, staff use Microsoft single sign-on and partners see no change. If it is moved onto GEHA's own Azure servers instead, it would need the new directory and more work.</t>
  </si>
  <si>
    <t xml:space="preserve">DFS</t>
  </si>
  <si>
    <t xml:space="preserve">W3</t>
  </si>
  <si>
    <t xml:space="preserve">Rehost - Azure Files</t>
  </si>
  <si>
    <t xml:space="preserve">Entra DS does not support DFS Replication or domain-based namespaces, so the namespace is redesigned (Azure Files paths, standalone namespace or GPO drive maps). Azure Files identity auth through Entra DS; NTFS ACL validation.</t>
  </si>
  <si>
    <t xml:space="preserve">DFS gives staff one familiar network path to many shared folders. The new Microsoft-run directory does not support this feature, so the way staff reach shared folders has to be redesigned, for example with new paths or mapped drive letters. Folder permissions must also be checked so the right people keep the right access. It touches users, scripts and applications, which is why it is a larger item.</t>
  </si>
  <si>
    <t xml:space="preserve">FILE SHARE</t>
  </si>
  <si>
    <t xml:space="preserve">Storage account joined to Entra DS; share and NTFS permissions; drive mappings.</t>
  </si>
  <si>
    <t xml:space="preserve">A shared file server moving to Azure file storage. The storage joins the new directory and folder permissions are checked so people keep the same access.</t>
  </si>
  <si>
    <t xml:space="preserve">Print Server</t>
  </si>
  <si>
    <t xml:space="preserve">Rehost</t>
  </si>
  <si>
    <t xml:space="preserve">Spooler auth, GPO printer deployment and queue ACLs on AD groups. Entra DS GPOs only reach Entra DS-joined machines, so end-user printer mapping may need Intune or Universal Print.</t>
  </si>
  <si>
    <t xml:space="preserve">The print server itself moves easily. The change is in how printers are set up on staff laptops: today the old directory pushes them out, and the new directory cannot reach laptops. Printer set-up for staff will need to move to Microsoft Intune or Universal Print, which is a decision for GEHA.</t>
  </si>
  <si>
    <t xml:space="preserve">ServiceNow</t>
  </si>
  <si>
    <t xml:space="preserve">Rehost - 4 MID servers</t>
  </si>
  <si>
    <t xml:space="preserve">Windows discovery (WMI/WinRM) needs a domain credential in Entra DS; LDAP user import re-pointed to Entra ID.</t>
  </si>
  <si>
    <t xml:space="preserve">ServiceNow stays in the cloud; only the four helper servers that scan GEHA's network move. They need a scanning account in the new directory. Any workflow that changes accounts in the old directory (for example adding someone to a group) must move to Microsoft Entra ID.</t>
  </si>
  <si>
    <t xml:space="preserve">MELISSA DATA</t>
  </si>
  <si>
    <t xml:space="preserve">W4</t>
  </si>
  <si>
    <t xml:space="preserve">Windows host; domain join and service account.</t>
  </si>
  <si>
    <t xml:space="preserve">A standard address-checking component on one server. The server joins the new directory and its service account is recreated. Small.</t>
  </si>
  <si>
    <t xml:space="preserve">Varonis</t>
  </si>
  <si>
    <t xml:space="preserve">SaaS; collectors retire or rehost (open)</t>
  </si>
  <si>
    <t xml:space="preserve">Monitors AD, file shares and SharePoint; collectors read the directory and collect DC events. Agents cannot be installed on Entra DS controllers. Vendor must confirm what Varonis can see on Entra DS and Azure Files.</t>
  </si>
  <si>
    <t xml:space="preserve">Varonis watches who opens and changes sensitive files, which matters for PHI audit. Today it reads activity from the old directory's servers; Microsoft does not allow that kind of monitoring agent on the new directory's servers. The vendor must confirm how full audit coverage will continue, otherwise there is a risk of a monitoring gap.</t>
  </si>
  <si>
    <t xml:space="preserve">Veracode</t>
  </si>
  <si>
    <t xml:space="preserve">Already SaaS; 2 agent hosts</t>
  </si>
  <si>
    <t xml:space="preserve">Agent hosts domain-joined (Kerberos, LDAP, GPO). Domain join only; SSO already on Entra ID.</t>
  </si>
  <si>
    <t xml:space="preserve">Veracode is already a cloud service; only two helper servers move. They join the new directory. Small.</t>
  </si>
  <si>
    <t xml:space="preserve">Ansible</t>
  </si>
  <si>
    <t xml:space="preserve">Disposition open</t>
  </si>
  <si>
    <t xml:space="preserve">AAP/Tower login uses LDAP and GC; Windows automation uses WinRM with Kerberos and domain accounts. Needs LDAPS (or Entra ID SAML), krb5 realm change on execution nodes and service accounts in Entra DS.</t>
  </si>
  <si>
    <t xml:space="preserve">Ansible automates routine server tasks. Both staff login and the way it connects to Windows servers use the old directory today. Both must be pointed at the new directory, and its automation jobs retested against real servers.</t>
  </si>
  <si>
    <t xml:space="preserve">Genetec / Security Cameras</t>
  </si>
  <si>
    <t xml:space="preserve">Relocate (stays near cameras)</t>
  </si>
  <si>
    <t xml:space="preserve">Dashboard access by AD group; LDAPS 636 observed. Once on-prem AD retires, point it at Entra DS over LDAPS (or Entra ID sign-in if the version allows). The relocated site needs network line of sight to Entra DS.</t>
  </si>
  <si>
    <t xml:space="preserve">Genetec runs security cameras and door access, and its servers stay on-site near the cameras. Staff access is controlled by directory groups, which will come from the new cloud directory over the network. Because physical security must never lock staff out, a backup login is needed in case the network link to Azure goes down.</t>
  </si>
  <si>
    <t xml:space="preserve">Blue figures are first-cut estimates and can be edited; size columns and totals recalculate. INTERNAL PKI hours are a placeholder until the PKI option is chosen. "Old directory" = GEHA's on-premises Active Directory; "new directory" = Microsoft Entra Domain Services.</t>
  </si>
  <si>
    <t xml:space="preserve">One-time Entra DS platform set-up (includes directory data set-up)</t>
  </si>
  <si>
    <t xml:space="preserve">Item</t>
  </si>
  <si>
    <t xml:space="preserve">Scope</t>
  </si>
  <si>
    <t xml:space="preserve">Deploy the managed domain</t>
  </si>
  <si>
    <t xml:space="preserve">Enterprise SKU, dedicated subnet and NSG, VNet DNS settings, conditional forwarders to and from Azure Private DNS.</t>
  </si>
  <si>
    <t xml:space="preserve">Credential sync</t>
  </si>
  <si>
    <t xml:space="preserve">Enable NTLM/Kerberos legacy hash sync in Entra Connect, scope sync, wait for initial sync, password-change comms for cloud-only accounts.</t>
  </si>
  <si>
    <t xml:space="preserve">Secure LDAP</t>
  </si>
  <si>
    <t xml:space="preserve">Obtain certificate, enable LDAPS, restrict access by NSG.</t>
  </si>
  <si>
    <t xml:space="preserve">Admin model</t>
  </si>
  <si>
    <t xml:space="preserve">Management VM with GPMC and RSAT, AAD DC Administrators membership, custom OU design and delegation.</t>
  </si>
  <si>
    <t xml:space="preserve">Group Policy baseline</t>
  </si>
  <si>
    <t xml:space="preserve">Export the server GPOs that matter from on-prem, import into new GPOs in custom OUs, add ADMX templates, security baseline.</t>
  </si>
  <si>
    <t xml:space="preserve">Directory data not synced</t>
  </si>
  <si>
    <t xml:space="preserve">Recreate service accounts and gMSAs, SPNs, DNS records and computer OU placement. None of these come across from Entra ID.</t>
  </si>
  <si>
    <t xml:space="preserve">Resilience and monitoring</t>
  </si>
  <si>
    <t xml:space="preserve">Replica set in the paired region, health alerts, diagnostic logs to the SIEM.</t>
  </si>
  <si>
    <t xml:space="preserve">Platform testing</t>
  </si>
  <si>
    <t xml:space="preserve">Kerberos, NTLM and LDAPS from a test VM, GPO application, DNS resolution, password change, replica failover.</t>
  </si>
  <si>
    <t xml:space="preserve">Effort roll-up</t>
  </si>
  <si>
    <t xml:space="preserve">Line</t>
  </si>
  <si>
    <t xml:space="preserve">Config low</t>
  </si>
  <si>
    <t xml:space="preserve">Config high</t>
  </si>
  <si>
    <t xml:space="preserve">Test low</t>
  </si>
  <si>
    <t xml:space="preserve">Test high</t>
  </si>
  <si>
    <t xml:space="preserve">One-time Entra DS platform set-up</t>
  </si>
  <si>
    <t xml:space="preserve">Applications excluding INTERNAL PKI</t>
  </si>
  <si>
    <t xml:space="preserve">Total excluding PKI</t>
  </si>
  <si>
    <t xml:space="preserve">INTERNAL PKI placeholder (option not chosen)</t>
  </si>
  <si>
    <t xml:space="preserve">Total including PKI placeholder</t>
  </si>
  <si>
    <t xml:space="preserve">Points to raise with the client</t>
  </si>
  <si>
    <t xml:space="preserve">1. PKI decision first</t>
  </si>
  <si>
    <t xml:space="preserve">An Enterprise CA cannot be hosted on Entra DS. LDAPS on Entra DS also needs a certificate, and so does the CyberArk, Genetec and Ansible re-pointing. Choose between a small self-managed AD DS in Azure for PKI only, or a cloud PKI.</t>
  </si>
  <si>
    <t xml:space="preserve">2. Group Policy only reaches Entra DS-joined servers</t>
  </si>
  <si>
    <t xml:space="preserve">End-user laptops will not pick up Entra DS GPOs, so printer and drive mappings for users move to Intune (or Universal Print).</t>
  </si>
  <si>
    <t xml:space="preserve">3. Shared SQL instances carry hidden load</t>
  </si>
  <si>
    <t xml:space="preserve">The 74-server SQL estate is domain-joined and uses Windows Integrated Auth (1,065 LDAP/GC flows observed). SQLMAIN, SQLRPT and SQLCOTS cutover nights should include an Entra DS sign-in check.</t>
  </si>
  <si>
    <t xml:space="preserve">4. Disposition conflicts change the sizing</t>
  </si>
  <si>
    <t xml:space="preserve">Turbonomic, MOVEit Transfer, GEHADATA, Varonis and Ansible have open or conflicting dispositions; a move to IaaS instead of SaaS/PaaS adds Entra DS work.</t>
  </si>
  <si>
    <t xml:space="preserve">5. Vendor confirmations</t>
  </si>
  <si>
    <t xml:space="preserve">Varonis (monitoring on Entra DS), Veracore (SSO on SaaS), Genetec (Entra ID sign-in on the installed version) and UiPath (network path from cloud robots).</t>
  </si>
  <si>
    <t xml:space="preserve">6. Outside the Wave 1-4 register</t>
  </si>
  <si>
    <t xml:space="preserve">HL7 (domain-joined, Windows integrated) and Token Security (AD connector host) would also need Entra DS. ExaBeam and Axonius drop their AD connectors in favour of Entra ID.</t>
  </si>
  <si>
    <t xml:space="preserve">Sources: Microsoft Learn - Entra Domain Services: compare identity solutions, FAQ, synchronization, manage Group Policy, Kerberos constrained delegation; Azure Files Entra DS authentication. Internal: 01_Playbooks_Current (33 playbooks), GEHA DCM Application IDs register.</t>
  </si>
</sst>
</file>

<file path=xl/styles.xml><?xml version="1.0" encoding="utf-8"?>
<styleSheet xmlns="http://schemas.openxmlformats.org/spreadsheetml/2006/main">
  <numFmts count="3">
    <numFmt numFmtId="164" formatCode="General"/>
    <numFmt numFmtId="165" formatCode="0;\-0;\-"/>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1"/>
      <color rgb="FF1F3864"/>
      <name val="Arial"/>
      <family val="0"/>
      <charset val="1"/>
    </font>
    <font>
      <b val="true"/>
      <sz val="9"/>
      <color rgb="FFFFFFFF"/>
      <name val="Arial"/>
      <family val="0"/>
      <charset val="1"/>
    </font>
    <font>
      <b val="true"/>
      <sz val="9"/>
      <color rgb="FF000000"/>
      <name val="Arial"/>
      <family val="0"/>
      <charset val="1"/>
    </font>
    <font>
      <sz val="9"/>
      <color rgb="FF000000"/>
      <name val="Arial"/>
      <family val="0"/>
      <charset val="1"/>
    </font>
    <font>
      <sz val="9"/>
      <color rgb="FF0000FF"/>
      <name val="Arial"/>
      <family val="0"/>
      <charset val="1"/>
    </font>
    <font>
      <i val="true"/>
      <sz val="8"/>
      <color rgb="FF595959"/>
      <name val="Arial"/>
      <family val="0"/>
      <charset val="1"/>
    </font>
    <font>
      <b val="true"/>
      <sz val="10"/>
      <color rgb="FF1F3864"/>
      <name val="Arial"/>
      <family val="0"/>
      <charset val="1"/>
    </font>
  </fonts>
  <fills count="12">
    <fill>
      <patternFill patternType="none"/>
    </fill>
    <fill>
      <patternFill patternType="gray125"/>
    </fill>
    <fill>
      <patternFill patternType="solid">
        <fgColor rgb="FF1F3864"/>
        <bgColor rgb="FF333333"/>
      </patternFill>
    </fill>
    <fill>
      <patternFill patternType="solid">
        <fgColor rgb="FFF2F2F2"/>
        <bgColor rgb="FFEFEFEF"/>
      </patternFill>
    </fill>
    <fill>
      <patternFill patternType="solid">
        <fgColor rgb="FFF4CCCC"/>
        <bgColor rgb="FFE6B8AF"/>
      </patternFill>
    </fill>
    <fill>
      <patternFill patternType="solid">
        <fgColor rgb="FFF3F7FB"/>
        <bgColor rgb="FFF2F2F2"/>
      </patternFill>
    </fill>
    <fill>
      <patternFill patternType="solid">
        <fgColor rgb="FFD9EAD3"/>
        <bgColor rgb="FFDEEAF6"/>
      </patternFill>
    </fill>
    <fill>
      <patternFill patternType="solid">
        <fgColor rgb="FFE6B8AF"/>
        <bgColor rgb="FFF4CCCC"/>
      </patternFill>
    </fill>
    <fill>
      <patternFill patternType="solid">
        <fgColor rgb="FFFFF2CC"/>
        <bgColor rgb="FFFCE5CD"/>
      </patternFill>
    </fill>
    <fill>
      <patternFill patternType="solid">
        <fgColor rgb="FFFCE5CD"/>
        <bgColor rgb="FFFFF2CC"/>
      </patternFill>
    </fill>
    <fill>
      <patternFill patternType="solid">
        <fgColor rgb="FFEFEFEF"/>
        <bgColor rgb="FFF2F2F2"/>
      </patternFill>
    </fill>
    <fill>
      <patternFill patternType="solid">
        <fgColor rgb="FFDEEAF6"/>
        <bgColor rgb="FFEFEFE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left" vertical="top" textRotation="0" wrapText="false" indent="0" shrinkToFit="false"/>
      <protection locked="true" hidden="false"/>
    </xf>
    <xf numFmtId="164" fontId="6" fillId="0" borderId="0" xfId="0" applyFont="true" applyBorder="true" applyAlignment="true" applyProtection="false">
      <alignment horizontal="left" vertical="top"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8" fillId="10"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left" vertical="top" textRotation="0" wrapText="true" indent="0" shrinkToFit="false"/>
      <protection locked="true" hidden="false"/>
    </xf>
    <xf numFmtId="166" fontId="8" fillId="11"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top"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AF6"/>
      <rgbColor rgb="FF660066"/>
      <rgbColor rgb="FFFF8080"/>
      <rgbColor rgb="FF0066CC"/>
      <rgbColor rgb="FFEFEFEF"/>
      <rgbColor rgb="FF000080"/>
      <rgbColor rgb="FFFF00FF"/>
      <rgbColor rgb="FFFFFF00"/>
      <rgbColor rgb="FF00FFFF"/>
      <rgbColor rgb="FF800080"/>
      <rgbColor rgb="FF800000"/>
      <rgbColor rgb="FF008080"/>
      <rgbColor rgb="FF0000FF"/>
      <rgbColor rgb="FF00CCFF"/>
      <rgbColor rgb="FFF3F7FB"/>
      <rgbColor rgb="FFD9EAD3"/>
      <rgbColor rgb="FFFCE5CD"/>
      <rgbColor rgb="FFF2F2F2"/>
      <rgbColor rgb="FFE6B8AF"/>
      <rgbColor rgb="FFCC99FF"/>
      <rgbColor rgb="FFF4CCC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7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6"/>
    <col collapsed="false" customWidth="true" hidden="false" outlineLevel="0" max="4" min="4" style="0" width="22"/>
    <col collapsed="false" customWidth="true" hidden="false" outlineLevel="0" max="5" min="5" style="0" width="15"/>
    <col collapsed="false" customWidth="true" hidden="false" outlineLevel="0" max="7" min="6" style="0" width="62"/>
    <col collapsed="false" customWidth="true" hidden="false" outlineLevel="0" max="9" min="8" style="0" width="8"/>
    <col collapsed="false" customWidth="true" hidden="false" outlineLevel="0" max="10" min="10" style="0" width="7"/>
    <col collapsed="false" customWidth="true" hidden="false" outlineLevel="0" max="12" min="11" style="0" width="8"/>
    <col collapsed="false" customWidth="true" hidden="false" outlineLevel="0" max="13" min="13" style="0" width="7"/>
  </cols>
  <sheetData>
    <row r="1" customFormat="false" ht="21.75" hidden="false" customHeight="true" outlineLevel="0" collapsed="false">
      <c r="A1" s="1" t="s">
        <v>0</v>
      </c>
      <c r="B1" s="1"/>
      <c r="C1" s="1"/>
      <c r="D1" s="1"/>
      <c r="E1" s="1"/>
      <c r="F1" s="1"/>
      <c r="G1" s="1"/>
      <c r="H1" s="1"/>
      <c r="I1" s="1"/>
      <c r="J1" s="1"/>
      <c r="K1" s="1"/>
      <c r="L1" s="1"/>
      <c r="M1" s="1"/>
    </row>
    <row r="2" customFormat="false" ht="15" hidden="false" customHeight="false" outlineLevel="0" collapsed="false">
      <c r="A2" s="2" t="s">
        <v>1</v>
      </c>
      <c r="B2" s="2"/>
      <c r="C2" s="2"/>
      <c r="D2" s="2"/>
      <c r="E2" s="2"/>
      <c r="F2" s="2"/>
      <c r="G2" s="2"/>
      <c r="H2" s="2"/>
      <c r="I2" s="2"/>
      <c r="J2" s="2"/>
      <c r="K2" s="2"/>
      <c r="L2" s="2"/>
      <c r="M2" s="2"/>
    </row>
    <row r="4" customFormat="false" ht="19.5" hidden="false" customHeight="true" outlineLevel="0" collapsed="false">
      <c r="A4" s="3" t="s">
        <v>2</v>
      </c>
      <c r="B4" s="3"/>
      <c r="C4" s="3"/>
      <c r="D4" s="3"/>
      <c r="E4" s="3"/>
      <c r="F4" s="3"/>
      <c r="G4" s="3"/>
      <c r="H4" s="3"/>
      <c r="I4" s="3"/>
      <c r="J4" s="3"/>
      <c r="K4" s="3"/>
      <c r="L4" s="3"/>
      <c r="M4" s="3"/>
    </row>
    <row r="5" customFormat="false" ht="25.5" hidden="false" customHeight="true" outlineLevel="0" collapsed="false">
      <c r="A5" s="4"/>
      <c r="B5" s="4"/>
      <c r="C5" s="4"/>
      <c r="D5" s="4" t="s">
        <v>3</v>
      </c>
      <c r="E5" s="4"/>
      <c r="F5" s="4" t="s">
        <v>4</v>
      </c>
      <c r="G5" s="4"/>
      <c r="H5" s="4"/>
      <c r="I5" s="4"/>
      <c r="J5" s="4"/>
      <c r="K5" s="4"/>
      <c r="L5" s="4"/>
      <c r="M5" s="4"/>
    </row>
    <row r="6" customFormat="false" ht="27" hidden="false" customHeight="true" outlineLevel="0" collapsed="false">
      <c r="A6" s="5" t="s">
        <v>5</v>
      </c>
      <c r="B6" s="5"/>
      <c r="C6" s="5"/>
      <c r="D6" s="6" t="s">
        <v>6</v>
      </c>
      <c r="E6" s="6"/>
      <c r="F6" s="6" t="s">
        <v>7</v>
      </c>
      <c r="G6" s="6"/>
      <c r="H6" s="6"/>
      <c r="I6" s="6"/>
      <c r="J6" s="6"/>
      <c r="K6" s="6"/>
      <c r="L6" s="6"/>
      <c r="M6" s="6"/>
    </row>
    <row r="7" customFormat="false" ht="15" hidden="false" customHeight="true" outlineLevel="0" collapsed="false">
      <c r="A7" s="5" t="s">
        <v>8</v>
      </c>
      <c r="B7" s="5"/>
      <c r="C7" s="5"/>
      <c r="D7" s="6" t="s">
        <v>9</v>
      </c>
      <c r="E7" s="6"/>
      <c r="F7" s="6" t="s">
        <v>10</v>
      </c>
      <c r="G7" s="6"/>
      <c r="H7" s="6"/>
      <c r="I7" s="6"/>
      <c r="J7" s="6"/>
      <c r="K7" s="6"/>
      <c r="L7" s="6"/>
      <c r="M7" s="6"/>
    </row>
    <row r="8" customFormat="false" ht="15" hidden="false" customHeight="true" outlineLevel="0" collapsed="false">
      <c r="A8" s="5" t="s">
        <v>11</v>
      </c>
      <c r="B8" s="5"/>
      <c r="C8" s="5"/>
      <c r="D8" s="6" t="s">
        <v>12</v>
      </c>
      <c r="E8" s="6"/>
      <c r="F8" s="6" t="s">
        <v>13</v>
      </c>
      <c r="G8" s="6"/>
      <c r="H8" s="6"/>
      <c r="I8" s="6"/>
      <c r="J8" s="6"/>
      <c r="K8" s="6"/>
      <c r="L8" s="6"/>
      <c r="M8" s="6"/>
    </row>
    <row r="9" customFormat="false" ht="15" hidden="false" customHeight="true" outlineLevel="0" collapsed="false">
      <c r="A9" s="5" t="s">
        <v>14</v>
      </c>
      <c r="B9" s="5"/>
      <c r="C9" s="5"/>
      <c r="D9" s="6" t="s">
        <v>15</v>
      </c>
      <c r="E9" s="6"/>
      <c r="F9" s="6" t="s">
        <v>16</v>
      </c>
      <c r="G9" s="6"/>
      <c r="H9" s="6"/>
      <c r="I9" s="6"/>
      <c r="J9" s="6"/>
      <c r="K9" s="6"/>
      <c r="L9" s="6"/>
      <c r="M9" s="6"/>
    </row>
    <row r="10" customFormat="false" ht="27" hidden="false" customHeight="true" outlineLevel="0" collapsed="false">
      <c r="A10" s="5" t="s">
        <v>17</v>
      </c>
      <c r="B10" s="5"/>
      <c r="C10" s="5"/>
      <c r="D10" s="6" t="s">
        <v>18</v>
      </c>
      <c r="E10" s="6"/>
      <c r="F10" s="6" t="s">
        <v>19</v>
      </c>
      <c r="G10" s="6"/>
      <c r="H10" s="6"/>
      <c r="I10" s="6"/>
      <c r="J10" s="6"/>
      <c r="K10" s="6"/>
      <c r="L10" s="6"/>
      <c r="M10" s="6"/>
    </row>
    <row r="12" customFormat="false" ht="19.5" hidden="false" customHeight="true" outlineLevel="0" collapsed="false">
      <c r="A12" s="3" t="s">
        <v>20</v>
      </c>
      <c r="B12" s="3"/>
      <c r="C12" s="3"/>
      <c r="D12" s="3"/>
      <c r="E12" s="3"/>
      <c r="F12" s="3"/>
      <c r="G12" s="3"/>
      <c r="H12" s="3"/>
      <c r="I12" s="3"/>
      <c r="J12" s="3"/>
      <c r="K12" s="3"/>
      <c r="L12" s="3"/>
      <c r="M12" s="3"/>
    </row>
    <row r="13" customFormat="false" ht="27.75" hidden="false" customHeight="true" outlineLevel="0" collapsed="false">
      <c r="A13" s="7" t="s">
        <v>21</v>
      </c>
      <c r="B13" s="7"/>
      <c r="C13" s="7"/>
      <c r="D13" s="7"/>
      <c r="E13" s="7"/>
      <c r="F13" s="7"/>
      <c r="G13" s="7"/>
      <c r="H13" s="7"/>
      <c r="I13" s="7"/>
      <c r="J13" s="7"/>
      <c r="K13" s="7"/>
      <c r="L13" s="7"/>
      <c r="M13" s="7"/>
    </row>
    <row r="15" customFormat="false" ht="19.5" hidden="false" customHeight="true" outlineLevel="0" collapsed="false">
      <c r="A15" s="3" t="s">
        <v>22</v>
      </c>
      <c r="B15" s="3"/>
      <c r="C15" s="3"/>
      <c r="D15" s="3"/>
      <c r="E15" s="3"/>
      <c r="F15" s="3"/>
      <c r="G15" s="3"/>
      <c r="H15" s="3"/>
      <c r="I15" s="3"/>
      <c r="J15" s="3"/>
      <c r="K15" s="3"/>
      <c r="L15" s="3"/>
      <c r="M15" s="3"/>
    </row>
    <row r="16" customFormat="false" ht="25.5" hidden="false" customHeight="true" outlineLevel="0" collapsed="false">
      <c r="A16" s="4" t="s">
        <v>23</v>
      </c>
      <c r="B16" s="4" t="s">
        <v>24</v>
      </c>
      <c r="C16" s="4" t="s">
        <v>25</v>
      </c>
      <c r="D16" s="4" t="s">
        <v>26</v>
      </c>
      <c r="E16" s="4" t="s">
        <v>27</v>
      </c>
      <c r="F16" s="4" t="s">
        <v>28</v>
      </c>
      <c r="G16" s="4" t="s">
        <v>29</v>
      </c>
      <c r="H16" s="4" t="s">
        <v>30</v>
      </c>
      <c r="I16" s="4" t="s">
        <v>31</v>
      </c>
      <c r="J16" s="4" t="s">
        <v>32</v>
      </c>
      <c r="K16" s="4" t="s">
        <v>33</v>
      </c>
      <c r="L16" s="4" t="s">
        <v>34</v>
      </c>
      <c r="M16" s="4" t="s">
        <v>35</v>
      </c>
    </row>
    <row r="17" customFormat="false" ht="87" hidden="false" customHeight="true" outlineLevel="0" collapsed="false">
      <c r="A17" s="8" t="n">
        <v>1</v>
      </c>
      <c r="B17" s="9" t="s">
        <v>36</v>
      </c>
      <c r="C17" s="8" t="s">
        <v>37</v>
      </c>
      <c r="D17" s="6" t="s">
        <v>38</v>
      </c>
      <c r="E17" s="10" t="s">
        <v>39</v>
      </c>
      <c r="F17" s="6" t="s">
        <v>40</v>
      </c>
      <c r="G17" s="11" t="s">
        <v>41</v>
      </c>
      <c r="H17" s="12" t="n">
        <v>60</v>
      </c>
      <c r="I17" s="12" t="n">
        <v>100</v>
      </c>
      <c r="J17" s="8" t="str">
        <f aca="false">IF(I17=0,"-",IF(I17&lt;=8,"XS",IF(I17&lt;=24,"S",IF(I17&lt;=60,"M",IF(I17&lt;=120,"L","XL")))))</f>
        <v>L</v>
      </c>
      <c r="K17" s="12" t="n">
        <v>60</v>
      </c>
      <c r="L17" s="12" t="n">
        <v>100</v>
      </c>
      <c r="M17" s="8" t="str">
        <f aca="false">IF(L17=0,"-",IF(L17&lt;=8,"XS",IF(L17&lt;=24,"S",IF(L17&lt;=60,"M",IF(L17&lt;=120,"L","XL")))))</f>
        <v>L</v>
      </c>
    </row>
    <row r="18" customFormat="false" ht="51" hidden="false" customHeight="true" outlineLevel="0" collapsed="false">
      <c r="A18" s="8" t="n">
        <v>2</v>
      </c>
      <c r="B18" s="9" t="s">
        <v>42</v>
      </c>
      <c r="C18" s="8" t="s">
        <v>37</v>
      </c>
      <c r="D18" s="6" t="s">
        <v>43</v>
      </c>
      <c r="E18" s="13" t="s">
        <v>44</v>
      </c>
      <c r="F18" s="6" t="s">
        <v>45</v>
      </c>
      <c r="G18" s="11" t="s">
        <v>46</v>
      </c>
      <c r="H18" s="12" t="n">
        <v>4</v>
      </c>
      <c r="I18" s="12" t="n">
        <v>8</v>
      </c>
      <c r="J18" s="8" t="str">
        <f aca="false">IF(I18=0,"-",IF(I18&lt;=8,"XS",IF(I18&lt;=24,"S",IF(I18&lt;=60,"M",IF(I18&lt;=120,"L","XL")))))</f>
        <v>XS</v>
      </c>
      <c r="K18" s="12" t="n">
        <v>4</v>
      </c>
      <c r="L18" s="12" t="n">
        <v>8</v>
      </c>
      <c r="M18" s="8" t="str">
        <f aca="false">IF(L18=0,"-",IF(L18&lt;=8,"XS",IF(L18&lt;=24,"S",IF(L18&lt;=60,"M",IF(L18&lt;=120,"L","XL")))))</f>
        <v>XS</v>
      </c>
    </row>
    <row r="19" customFormat="false" ht="87" hidden="false" customHeight="true" outlineLevel="0" collapsed="false">
      <c r="A19" s="8" t="n">
        <v>3</v>
      </c>
      <c r="B19" s="9" t="s">
        <v>47</v>
      </c>
      <c r="C19" s="8" t="s">
        <v>37</v>
      </c>
      <c r="D19" s="6" t="s">
        <v>48</v>
      </c>
      <c r="E19" s="14" t="s">
        <v>49</v>
      </c>
      <c r="F19" s="6" t="s">
        <v>50</v>
      </c>
      <c r="G19" s="11" t="s">
        <v>51</v>
      </c>
      <c r="H19" s="12" t="n">
        <v>120</v>
      </c>
      <c r="I19" s="12" t="n">
        <v>200</v>
      </c>
      <c r="J19" s="8" t="str">
        <f aca="false">IF(I19=0,"-",IF(I19&lt;=8,"XS",IF(I19&lt;=24,"S",IF(I19&lt;=60,"M",IF(I19&lt;=120,"L","XL")))))</f>
        <v>XL</v>
      </c>
      <c r="K19" s="12" t="n">
        <v>80</v>
      </c>
      <c r="L19" s="12" t="n">
        <v>120</v>
      </c>
      <c r="M19" s="8" t="str">
        <f aca="false">IF(L19=0,"-",IF(L19&lt;=8,"XS",IF(L19&lt;=24,"S",IF(L19&lt;=60,"M",IF(L19&lt;=120,"L","XL")))))</f>
        <v>L</v>
      </c>
    </row>
    <row r="20" customFormat="false" ht="63" hidden="false" customHeight="true" outlineLevel="0" collapsed="false">
      <c r="A20" s="8" t="n">
        <v>4</v>
      </c>
      <c r="B20" s="9" t="s">
        <v>52</v>
      </c>
      <c r="C20" s="8" t="s">
        <v>37</v>
      </c>
      <c r="D20" s="6" t="s">
        <v>53</v>
      </c>
      <c r="E20" s="15" t="s">
        <v>54</v>
      </c>
      <c r="F20" s="6" t="s">
        <v>55</v>
      </c>
      <c r="G20" s="11" t="s">
        <v>56</v>
      </c>
      <c r="H20" s="12" t="n">
        <v>8</v>
      </c>
      <c r="I20" s="12" t="n">
        <v>16</v>
      </c>
      <c r="J20" s="8" t="str">
        <f aca="false">IF(I20=0,"-",IF(I20&lt;=8,"XS",IF(I20&lt;=24,"S",IF(I20&lt;=60,"M",IF(I20&lt;=120,"L","XL")))))</f>
        <v>S</v>
      </c>
      <c r="K20" s="12" t="n">
        <v>8</v>
      </c>
      <c r="L20" s="12" t="n">
        <v>16</v>
      </c>
      <c r="M20" s="8" t="str">
        <f aca="false">IF(L20=0,"-",IF(L20&lt;=8,"XS",IF(L20&lt;=24,"S",IF(L20&lt;=60,"M",IF(L20&lt;=120,"L","XL")))))</f>
        <v>S</v>
      </c>
    </row>
    <row r="21" customFormat="false" ht="51" hidden="false" customHeight="true" outlineLevel="0" collapsed="false">
      <c r="A21" s="8" t="n">
        <v>5</v>
      </c>
      <c r="B21" s="9" t="s">
        <v>57</v>
      </c>
      <c r="C21" s="8" t="s">
        <v>37</v>
      </c>
      <c r="D21" s="6" t="s">
        <v>58</v>
      </c>
      <c r="E21" s="13" t="s">
        <v>44</v>
      </c>
      <c r="F21" s="6" t="s">
        <v>59</v>
      </c>
      <c r="G21" s="11" t="s">
        <v>60</v>
      </c>
      <c r="H21" s="12" t="n">
        <v>0</v>
      </c>
      <c r="I21" s="12" t="n">
        <v>4</v>
      </c>
      <c r="J21" s="8" t="str">
        <f aca="false">IF(I21=0,"-",IF(I21&lt;=8,"XS",IF(I21&lt;=24,"S",IF(I21&lt;=60,"M",IF(I21&lt;=120,"L","XL")))))</f>
        <v>XS</v>
      </c>
      <c r="K21" s="12" t="n">
        <v>2</v>
      </c>
      <c r="L21" s="12" t="n">
        <v>4</v>
      </c>
      <c r="M21" s="8" t="str">
        <f aca="false">IF(L21=0,"-",IF(L21&lt;=8,"XS",IF(L21&lt;=24,"S",IF(L21&lt;=60,"M",IF(L21&lt;=120,"L","XL")))))</f>
        <v>XS</v>
      </c>
    </row>
    <row r="22" customFormat="false" ht="39" hidden="false" customHeight="true" outlineLevel="0" collapsed="false">
      <c r="A22" s="8" t="n">
        <v>6</v>
      </c>
      <c r="B22" s="9" t="s">
        <v>61</v>
      </c>
      <c r="C22" s="8" t="s">
        <v>37</v>
      </c>
      <c r="D22" s="6" t="s">
        <v>62</v>
      </c>
      <c r="E22" s="13" t="s">
        <v>44</v>
      </c>
      <c r="F22" s="6" t="s">
        <v>63</v>
      </c>
      <c r="G22" s="11" t="s">
        <v>64</v>
      </c>
      <c r="H22" s="12" t="n">
        <v>0</v>
      </c>
      <c r="I22" s="12" t="n">
        <v>0</v>
      </c>
      <c r="J22" s="8" t="str">
        <f aca="false">IF(I22=0,"-",IF(I22&lt;=8,"XS",IF(I22&lt;=24,"S",IF(I22&lt;=60,"M",IF(I22&lt;=120,"L","XL")))))</f>
        <v>-</v>
      </c>
      <c r="K22" s="12" t="n">
        <v>2</v>
      </c>
      <c r="L22" s="12" t="n">
        <v>4</v>
      </c>
      <c r="M22" s="8" t="str">
        <f aca="false">IF(L22=0,"-",IF(L22&lt;=8,"XS",IF(L22&lt;=24,"S",IF(L22&lt;=60,"M",IF(L22&lt;=120,"L","XL")))))</f>
        <v>XS</v>
      </c>
    </row>
    <row r="23" customFormat="false" ht="87" hidden="false" customHeight="true" outlineLevel="0" collapsed="false">
      <c r="A23" s="8" t="n">
        <v>7</v>
      </c>
      <c r="B23" s="9" t="s">
        <v>65</v>
      </c>
      <c r="C23" s="8" t="s">
        <v>37</v>
      </c>
      <c r="D23" s="6" t="s">
        <v>66</v>
      </c>
      <c r="E23" s="10" t="s">
        <v>39</v>
      </c>
      <c r="F23" s="6" t="s">
        <v>67</v>
      </c>
      <c r="G23" s="11" t="s">
        <v>68</v>
      </c>
      <c r="H23" s="12" t="n">
        <v>60</v>
      </c>
      <c r="I23" s="12" t="n">
        <v>100</v>
      </c>
      <c r="J23" s="8" t="str">
        <f aca="false">IF(I23=0,"-",IF(I23&lt;=8,"XS",IF(I23&lt;=24,"S",IF(I23&lt;=60,"M",IF(I23&lt;=120,"L","XL")))))</f>
        <v>L</v>
      </c>
      <c r="K23" s="12" t="n">
        <v>60</v>
      </c>
      <c r="L23" s="12" t="n">
        <v>100</v>
      </c>
      <c r="M23" s="8" t="str">
        <f aca="false">IF(L23=0,"-",IF(L23&lt;=8,"XS",IF(L23&lt;=24,"S",IF(L23&lt;=60,"M",IF(L23&lt;=120,"L","XL")))))</f>
        <v>L</v>
      </c>
    </row>
    <row r="24" customFormat="false" ht="51" hidden="false" customHeight="true" outlineLevel="0" collapsed="false">
      <c r="A24" s="8" t="n">
        <v>8</v>
      </c>
      <c r="B24" s="9" t="s">
        <v>69</v>
      </c>
      <c r="C24" s="8" t="s">
        <v>70</v>
      </c>
      <c r="D24" s="6" t="s">
        <v>71</v>
      </c>
      <c r="E24" s="13" t="s">
        <v>44</v>
      </c>
      <c r="F24" s="6" t="s">
        <v>72</v>
      </c>
      <c r="G24" s="11" t="s">
        <v>73</v>
      </c>
      <c r="H24" s="12" t="n">
        <v>0</v>
      </c>
      <c r="I24" s="12" t="n">
        <v>0</v>
      </c>
      <c r="J24" s="8" t="str">
        <f aca="false">IF(I24=0,"-",IF(I24&lt;=8,"XS",IF(I24&lt;=24,"S",IF(I24&lt;=60,"M",IF(I24&lt;=120,"L","XL")))))</f>
        <v>-</v>
      </c>
      <c r="K24" s="12" t="n">
        <v>2</v>
      </c>
      <c r="L24" s="12" t="n">
        <v>4</v>
      </c>
      <c r="M24" s="8" t="str">
        <f aca="false">IF(L24=0,"-",IF(L24&lt;=8,"XS",IF(L24&lt;=24,"S",IF(L24&lt;=60,"M",IF(L24&lt;=120,"L","XL")))))</f>
        <v>XS</v>
      </c>
    </row>
    <row r="25" customFormat="false" ht="51" hidden="false" customHeight="true" outlineLevel="0" collapsed="false">
      <c r="A25" s="8" t="n">
        <v>9</v>
      </c>
      <c r="B25" s="9" t="s">
        <v>74</v>
      </c>
      <c r="C25" s="8" t="s">
        <v>70</v>
      </c>
      <c r="D25" s="6" t="s">
        <v>75</v>
      </c>
      <c r="E25" s="13" t="s">
        <v>44</v>
      </c>
      <c r="F25" s="6" t="s">
        <v>76</v>
      </c>
      <c r="G25" s="11" t="s">
        <v>77</v>
      </c>
      <c r="H25" s="12" t="n">
        <v>4</v>
      </c>
      <c r="I25" s="12" t="n">
        <v>8</v>
      </c>
      <c r="J25" s="8" t="str">
        <f aca="false">IF(I25=0,"-",IF(I25&lt;=8,"XS",IF(I25&lt;=24,"S",IF(I25&lt;=60,"M",IF(I25&lt;=120,"L","XL")))))</f>
        <v>XS</v>
      </c>
      <c r="K25" s="12" t="n">
        <v>8</v>
      </c>
      <c r="L25" s="12" t="n">
        <v>16</v>
      </c>
      <c r="M25" s="8" t="str">
        <f aca="false">IF(L25=0,"-",IF(L25&lt;=8,"XS",IF(L25&lt;=24,"S",IF(L25&lt;=60,"M",IF(L25&lt;=120,"L","XL")))))</f>
        <v>S</v>
      </c>
    </row>
    <row r="26" customFormat="false" ht="51" hidden="false" customHeight="true" outlineLevel="0" collapsed="false">
      <c r="A26" s="8" t="n">
        <v>10</v>
      </c>
      <c r="B26" s="9" t="s">
        <v>78</v>
      </c>
      <c r="C26" s="8" t="s">
        <v>70</v>
      </c>
      <c r="D26" s="6" t="s">
        <v>79</v>
      </c>
      <c r="E26" s="13" t="s">
        <v>44</v>
      </c>
      <c r="F26" s="6" t="s">
        <v>80</v>
      </c>
      <c r="G26" s="11" t="s">
        <v>81</v>
      </c>
      <c r="H26" s="12" t="n">
        <v>0</v>
      </c>
      <c r="I26" s="12" t="n">
        <v>0</v>
      </c>
      <c r="J26" s="8" t="str">
        <f aca="false">IF(I26=0,"-",IF(I26&lt;=8,"XS",IF(I26&lt;=24,"S",IF(I26&lt;=60,"M",IF(I26&lt;=120,"L","XL")))))</f>
        <v>-</v>
      </c>
      <c r="K26" s="12" t="n">
        <v>0</v>
      </c>
      <c r="L26" s="12" t="n">
        <v>0</v>
      </c>
      <c r="M26" s="8" t="str">
        <f aca="false">IF(L26=0,"-",IF(L26&lt;=8,"XS",IF(L26&lt;=24,"S",IF(L26&lt;=60,"M",IF(L26&lt;=120,"L","XL")))))</f>
        <v>-</v>
      </c>
    </row>
    <row r="27" customFormat="false" ht="63" hidden="false" customHeight="true" outlineLevel="0" collapsed="false">
      <c r="A27" s="8" t="n">
        <v>11</v>
      </c>
      <c r="B27" s="9" t="s">
        <v>82</v>
      </c>
      <c r="C27" s="8" t="s">
        <v>70</v>
      </c>
      <c r="D27" s="6" t="s">
        <v>83</v>
      </c>
      <c r="E27" s="16" t="s">
        <v>84</v>
      </c>
      <c r="F27" s="6" t="s">
        <v>85</v>
      </c>
      <c r="G27" s="11" t="s">
        <v>86</v>
      </c>
      <c r="H27" s="12" t="n">
        <v>24</v>
      </c>
      <c r="I27" s="12" t="n">
        <v>48</v>
      </c>
      <c r="J27" s="8" t="str">
        <f aca="false">IF(I27=0,"-",IF(I27&lt;=8,"XS",IF(I27&lt;=24,"S",IF(I27&lt;=60,"M",IF(I27&lt;=120,"L","XL")))))</f>
        <v>M</v>
      </c>
      <c r="K27" s="12" t="n">
        <v>40</v>
      </c>
      <c r="L27" s="12" t="n">
        <v>80</v>
      </c>
      <c r="M27" s="8" t="str">
        <f aca="false">IF(L27=0,"-",IF(L27&lt;=8,"XS",IF(L27&lt;=24,"S",IF(L27&lt;=60,"M",IF(L27&lt;=120,"L","XL")))))</f>
        <v>L</v>
      </c>
    </row>
    <row r="28" customFormat="false" ht="39" hidden="false" customHeight="true" outlineLevel="0" collapsed="false">
      <c r="A28" s="8" t="n">
        <v>12</v>
      </c>
      <c r="B28" s="9" t="s">
        <v>87</v>
      </c>
      <c r="C28" s="8" t="s">
        <v>70</v>
      </c>
      <c r="D28" s="6" t="s">
        <v>88</v>
      </c>
      <c r="E28" s="15" t="s">
        <v>54</v>
      </c>
      <c r="F28" s="6" t="s">
        <v>89</v>
      </c>
      <c r="G28" s="11" t="s">
        <v>90</v>
      </c>
      <c r="H28" s="12" t="n">
        <v>4</v>
      </c>
      <c r="I28" s="12" t="n">
        <v>8</v>
      </c>
      <c r="J28" s="8" t="str">
        <f aca="false">IF(I28=0,"-",IF(I28&lt;=8,"XS",IF(I28&lt;=24,"S",IF(I28&lt;=60,"M",IF(I28&lt;=120,"L","XL")))))</f>
        <v>XS</v>
      </c>
      <c r="K28" s="12" t="n">
        <v>4</v>
      </c>
      <c r="L28" s="12" t="n">
        <v>8</v>
      </c>
      <c r="M28" s="8" t="str">
        <f aca="false">IF(L28=0,"-",IF(L28&lt;=8,"XS",IF(L28&lt;=24,"S",IF(L28&lt;=60,"M",IF(L28&lt;=120,"L","XL")))))</f>
        <v>XS</v>
      </c>
    </row>
    <row r="29" customFormat="false" ht="39" hidden="false" customHeight="true" outlineLevel="0" collapsed="false">
      <c r="A29" s="8" t="n">
        <v>13</v>
      </c>
      <c r="B29" s="9" t="s">
        <v>91</v>
      </c>
      <c r="C29" s="8" t="s">
        <v>70</v>
      </c>
      <c r="D29" s="6" t="s">
        <v>92</v>
      </c>
      <c r="E29" s="15" t="s">
        <v>54</v>
      </c>
      <c r="F29" s="6" t="s">
        <v>93</v>
      </c>
      <c r="G29" s="11" t="s">
        <v>94</v>
      </c>
      <c r="H29" s="12" t="n">
        <v>4</v>
      </c>
      <c r="I29" s="12" t="n">
        <v>8</v>
      </c>
      <c r="J29" s="8" t="str">
        <f aca="false">IF(I29=0,"-",IF(I29&lt;=8,"XS",IF(I29&lt;=24,"S",IF(I29&lt;=60,"M",IF(I29&lt;=120,"L","XL")))))</f>
        <v>XS</v>
      </c>
      <c r="K29" s="12" t="n">
        <v>4</v>
      </c>
      <c r="L29" s="12" t="n">
        <v>8</v>
      </c>
      <c r="M29" s="8" t="str">
        <f aca="false">IF(L29=0,"-",IF(L29&lt;=8,"XS",IF(L29&lt;=24,"S",IF(L29&lt;=60,"M",IF(L29&lt;=120,"L","XL")))))</f>
        <v>XS</v>
      </c>
    </row>
    <row r="30" customFormat="false" ht="15" hidden="false" customHeight="true" outlineLevel="0" collapsed="false">
      <c r="A30" s="8" t="n">
        <v>14</v>
      </c>
      <c r="B30" s="9" t="s">
        <v>95</v>
      </c>
      <c r="C30" s="8" t="s">
        <v>70</v>
      </c>
      <c r="D30" s="6" t="s">
        <v>96</v>
      </c>
      <c r="E30" s="17" t="s">
        <v>97</v>
      </c>
      <c r="F30" s="6" t="s">
        <v>98</v>
      </c>
      <c r="G30" s="11" t="s">
        <v>99</v>
      </c>
      <c r="H30" s="12" t="n">
        <v>0</v>
      </c>
      <c r="I30" s="12" t="n">
        <v>0</v>
      </c>
      <c r="J30" s="8" t="str">
        <f aca="false">IF(I30=0,"-",IF(I30&lt;=8,"XS",IF(I30&lt;=24,"S",IF(I30&lt;=60,"M",IF(I30&lt;=120,"L","XL")))))</f>
        <v>-</v>
      </c>
      <c r="K30" s="12" t="n">
        <v>0</v>
      </c>
      <c r="L30" s="12" t="n">
        <v>0</v>
      </c>
      <c r="M30" s="8" t="str">
        <f aca="false">IF(L30=0,"-",IF(L30&lt;=8,"XS",IF(L30&lt;=24,"S",IF(L30&lt;=60,"M",IF(L30&lt;=120,"L","XL")))))</f>
        <v>-</v>
      </c>
    </row>
    <row r="31" customFormat="false" ht="51" hidden="false" customHeight="true" outlineLevel="0" collapsed="false">
      <c r="A31" s="8" t="n">
        <v>15</v>
      </c>
      <c r="B31" s="9" t="s">
        <v>100</v>
      </c>
      <c r="C31" s="8" t="s">
        <v>70</v>
      </c>
      <c r="D31" s="6" t="s">
        <v>101</v>
      </c>
      <c r="E31" s="15" t="s">
        <v>54</v>
      </c>
      <c r="F31" s="6" t="s">
        <v>102</v>
      </c>
      <c r="G31" s="11" t="s">
        <v>103</v>
      </c>
      <c r="H31" s="12" t="n">
        <v>4</v>
      </c>
      <c r="I31" s="12" t="n">
        <v>8</v>
      </c>
      <c r="J31" s="8" t="str">
        <f aca="false">IF(I31=0,"-",IF(I31&lt;=8,"XS",IF(I31&lt;=24,"S",IF(I31&lt;=60,"M",IF(I31&lt;=120,"L","XL")))))</f>
        <v>XS</v>
      </c>
      <c r="K31" s="12" t="n">
        <v>4</v>
      </c>
      <c r="L31" s="12" t="n">
        <v>8</v>
      </c>
      <c r="M31" s="8" t="str">
        <f aca="false">IF(L31=0,"-",IF(L31&lt;=8,"XS",IF(L31&lt;=24,"S",IF(L31&lt;=60,"M",IF(L31&lt;=120,"L","XL")))))</f>
        <v>XS</v>
      </c>
    </row>
    <row r="32" customFormat="false" ht="39" hidden="false" customHeight="true" outlineLevel="0" collapsed="false">
      <c r="A32" s="8" t="n">
        <v>16</v>
      </c>
      <c r="B32" s="9" t="s">
        <v>104</v>
      </c>
      <c r="C32" s="8" t="s">
        <v>70</v>
      </c>
      <c r="D32" s="6" t="s">
        <v>105</v>
      </c>
      <c r="E32" s="15" t="s">
        <v>54</v>
      </c>
      <c r="F32" s="6" t="s">
        <v>106</v>
      </c>
      <c r="G32" s="11" t="s">
        <v>107</v>
      </c>
      <c r="H32" s="12" t="n">
        <v>4</v>
      </c>
      <c r="I32" s="12" t="n">
        <v>8</v>
      </c>
      <c r="J32" s="8" t="str">
        <f aca="false">IF(I32=0,"-",IF(I32&lt;=8,"XS",IF(I32&lt;=24,"S",IF(I32&lt;=60,"M",IF(I32&lt;=120,"L","XL")))))</f>
        <v>XS</v>
      </c>
      <c r="K32" s="12" t="n">
        <v>4</v>
      </c>
      <c r="L32" s="12" t="n">
        <v>12</v>
      </c>
      <c r="M32" s="8" t="str">
        <f aca="false">IF(L32=0,"-",IF(L32&lt;=8,"XS",IF(L32&lt;=24,"S",IF(L32&lt;=60,"M",IF(L32&lt;=120,"L","XL")))))</f>
        <v>S</v>
      </c>
    </row>
    <row r="33" customFormat="false" ht="87" hidden="false" customHeight="true" outlineLevel="0" collapsed="false">
      <c r="A33" s="8" t="n">
        <v>17</v>
      </c>
      <c r="B33" s="9" t="s">
        <v>108</v>
      </c>
      <c r="C33" s="8" t="s">
        <v>70</v>
      </c>
      <c r="D33" s="6" t="s">
        <v>109</v>
      </c>
      <c r="E33" s="16" t="s">
        <v>84</v>
      </c>
      <c r="F33" s="6" t="s">
        <v>110</v>
      </c>
      <c r="G33" s="11" t="s">
        <v>111</v>
      </c>
      <c r="H33" s="12" t="n">
        <v>24</v>
      </c>
      <c r="I33" s="12" t="n">
        <v>40</v>
      </c>
      <c r="J33" s="8" t="str">
        <f aca="false">IF(I33=0,"-",IF(I33&lt;=8,"XS",IF(I33&lt;=24,"S",IF(I33&lt;=60,"M",IF(I33&lt;=120,"L","XL")))))</f>
        <v>M</v>
      </c>
      <c r="K33" s="12" t="n">
        <v>24</v>
      </c>
      <c r="L33" s="12" t="n">
        <v>40</v>
      </c>
      <c r="M33" s="8" t="str">
        <f aca="false">IF(L33=0,"-",IF(L33&lt;=8,"XS",IF(L33&lt;=24,"S",IF(L33&lt;=60,"M",IF(L33&lt;=120,"L","XL")))))</f>
        <v>M</v>
      </c>
    </row>
    <row r="34" customFormat="false" ht="63" hidden="false" customHeight="true" outlineLevel="0" collapsed="false">
      <c r="A34" s="8" t="n">
        <v>18</v>
      </c>
      <c r="B34" s="9" t="s">
        <v>112</v>
      </c>
      <c r="C34" s="8" t="s">
        <v>70</v>
      </c>
      <c r="D34" s="6" t="s">
        <v>113</v>
      </c>
      <c r="E34" s="13" t="s">
        <v>44</v>
      </c>
      <c r="F34" s="6" t="s">
        <v>114</v>
      </c>
      <c r="G34" s="11" t="s">
        <v>115</v>
      </c>
      <c r="H34" s="12" t="n">
        <v>0</v>
      </c>
      <c r="I34" s="12" t="n">
        <v>8</v>
      </c>
      <c r="J34" s="8" t="str">
        <f aca="false">IF(I34=0,"-",IF(I34&lt;=8,"XS",IF(I34&lt;=24,"S",IF(I34&lt;=60,"M",IF(I34&lt;=120,"L","XL")))))</f>
        <v>XS</v>
      </c>
      <c r="K34" s="12" t="n">
        <v>4</v>
      </c>
      <c r="L34" s="12" t="n">
        <v>8</v>
      </c>
      <c r="M34" s="8" t="str">
        <f aca="false">IF(L34=0,"-",IF(L34&lt;=8,"XS",IF(L34&lt;=24,"S",IF(L34&lt;=60,"M",IF(L34&lt;=120,"L","XL")))))</f>
        <v>XS</v>
      </c>
    </row>
    <row r="35" customFormat="false" ht="87" hidden="false" customHeight="true" outlineLevel="0" collapsed="false">
      <c r="A35" s="8" t="n">
        <v>19</v>
      </c>
      <c r="B35" s="9" t="s">
        <v>116</v>
      </c>
      <c r="C35" s="8" t="s">
        <v>117</v>
      </c>
      <c r="D35" s="6" t="s">
        <v>118</v>
      </c>
      <c r="E35" s="10" t="s">
        <v>39</v>
      </c>
      <c r="F35" s="6" t="s">
        <v>119</v>
      </c>
      <c r="G35" s="11" t="s">
        <v>120</v>
      </c>
      <c r="H35" s="12" t="n">
        <v>60</v>
      </c>
      <c r="I35" s="12" t="n">
        <v>100</v>
      </c>
      <c r="J35" s="8" t="str">
        <f aca="false">IF(I35=0,"-",IF(I35&lt;=8,"XS",IF(I35&lt;=24,"S",IF(I35&lt;=60,"M",IF(I35&lt;=120,"L","XL")))))</f>
        <v>L</v>
      </c>
      <c r="K35" s="12" t="n">
        <v>40</v>
      </c>
      <c r="L35" s="12" t="n">
        <v>80</v>
      </c>
      <c r="M35" s="8" t="str">
        <f aca="false">IF(L35=0,"-",IF(L35&lt;=8,"XS",IF(L35&lt;=24,"S",IF(L35&lt;=60,"M",IF(L35&lt;=120,"L","XL")))))</f>
        <v>L</v>
      </c>
    </row>
    <row r="36" customFormat="false" ht="39" hidden="false" customHeight="true" outlineLevel="0" collapsed="false">
      <c r="A36" s="8" t="n">
        <v>20</v>
      </c>
      <c r="B36" s="9" t="s">
        <v>121</v>
      </c>
      <c r="C36" s="8" t="s">
        <v>117</v>
      </c>
      <c r="D36" s="6" t="s">
        <v>118</v>
      </c>
      <c r="E36" s="16" t="s">
        <v>84</v>
      </c>
      <c r="F36" s="6" t="s">
        <v>122</v>
      </c>
      <c r="G36" s="11" t="s">
        <v>123</v>
      </c>
      <c r="H36" s="12" t="n">
        <v>24</v>
      </c>
      <c r="I36" s="12" t="n">
        <v>48</v>
      </c>
      <c r="J36" s="8" t="str">
        <f aca="false">IF(I36=0,"-",IF(I36&lt;=8,"XS",IF(I36&lt;=24,"S",IF(I36&lt;=60,"M",IF(I36&lt;=120,"L","XL")))))</f>
        <v>M</v>
      </c>
      <c r="K36" s="12" t="n">
        <v>24</v>
      </c>
      <c r="L36" s="12" t="n">
        <v>40</v>
      </c>
      <c r="M36" s="8" t="str">
        <f aca="false">IF(L36=0,"-",IF(L36&lt;=8,"XS",IF(L36&lt;=24,"S",IF(L36&lt;=60,"M",IF(L36&lt;=120,"L","XL")))))</f>
        <v>M</v>
      </c>
    </row>
    <row r="37" customFormat="false" ht="63" hidden="false" customHeight="true" outlineLevel="0" collapsed="false">
      <c r="A37" s="8" t="n">
        <v>21</v>
      </c>
      <c r="B37" s="9" t="s">
        <v>124</v>
      </c>
      <c r="C37" s="8" t="s">
        <v>117</v>
      </c>
      <c r="D37" s="6" t="s">
        <v>125</v>
      </c>
      <c r="E37" s="16" t="s">
        <v>84</v>
      </c>
      <c r="F37" s="6" t="s">
        <v>126</v>
      </c>
      <c r="G37" s="11" t="s">
        <v>127</v>
      </c>
      <c r="H37" s="12" t="n">
        <v>24</v>
      </c>
      <c r="I37" s="12" t="n">
        <v>40</v>
      </c>
      <c r="J37" s="8" t="str">
        <f aca="false">IF(I37=0,"-",IF(I37&lt;=8,"XS",IF(I37&lt;=24,"S",IF(I37&lt;=60,"M",IF(I37&lt;=120,"L","XL")))))</f>
        <v>M</v>
      </c>
      <c r="K37" s="12" t="n">
        <v>24</v>
      </c>
      <c r="L37" s="12" t="n">
        <v>40</v>
      </c>
      <c r="M37" s="8" t="str">
        <f aca="false">IF(L37=0,"-",IF(L37&lt;=8,"XS",IF(L37&lt;=24,"S",IF(L37&lt;=60,"M",IF(L37&lt;=120,"L","XL")))))</f>
        <v>M</v>
      </c>
    </row>
    <row r="38" customFormat="false" ht="63" hidden="false" customHeight="true" outlineLevel="0" collapsed="false">
      <c r="A38" s="8" t="n">
        <v>22</v>
      </c>
      <c r="B38" s="9" t="s">
        <v>128</v>
      </c>
      <c r="C38" s="8" t="s">
        <v>117</v>
      </c>
      <c r="D38" s="6" t="s">
        <v>129</v>
      </c>
      <c r="E38" s="16" t="s">
        <v>84</v>
      </c>
      <c r="F38" s="6" t="s">
        <v>130</v>
      </c>
      <c r="G38" s="11" t="s">
        <v>131</v>
      </c>
      <c r="H38" s="12" t="n">
        <v>16</v>
      </c>
      <c r="I38" s="12" t="n">
        <v>24</v>
      </c>
      <c r="J38" s="8" t="str">
        <f aca="false">IF(I38=0,"-",IF(I38&lt;=8,"XS",IF(I38&lt;=24,"S",IF(I38&lt;=60,"M",IF(I38&lt;=120,"L","XL")))))</f>
        <v>S</v>
      </c>
      <c r="K38" s="12" t="n">
        <v>16</v>
      </c>
      <c r="L38" s="12" t="n">
        <v>32</v>
      </c>
      <c r="M38" s="8" t="str">
        <f aca="false">IF(L38=0,"-",IF(L38&lt;=8,"XS",IF(L38&lt;=24,"S",IF(L38&lt;=60,"M",IF(L38&lt;=120,"L","XL")))))</f>
        <v>M</v>
      </c>
    </row>
    <row r="39" customFormat="false" ht="39" hidden="false" customHeight="true" outlineLevel="0" collapsed="false">
      <c r="A39" s="8" t="n">
        <v>23</v>
      </c>
      <c r="B39" s="9" t="s">
        <v>132</v>
      </c>
      <c r="C39" s="8" t="s">
        <v>133</v>
      </c>
      <c r="D39" s="6" t="s">
        <v>125</v>
      </c>
      <c r="E39" s="15" t="s">
        <v>54</v>
      </c>
      <c r="F39" s="6" t="s">
        <v>134</v>
      </c>
      <c r="G39" s="11" t="s">
        <v>135</v>
      </c>
      <c r="H39" s="12" t="n">
        <v>4</v>
      </c>
      <c r="I39" s="12" t="n">
        <v>8</v>
      </c>
      <c r="J39" s="8" t="str">
        <f aca="false">IF(I39=0,"-",IF(I39&lt;=8,"XS",IF(I39&lt;=24,"S",IF(I39&lt;=60,"M",IF(I39&lt;=120,"L","XL")))))</f>
        <v>XS</v>
      </c>
      <c r="K39" s="12" t="n">
        <v>4</v>
      </c>
      <c r="L39" s="12" t="n">
        <v>8</v>
      </c>
      <c r="M39" s="8" t="str">
        <f aca="false">IF(L39=0,"-",IF(L39&lt;=8,"XS",IF(L39&lt;=24,"S",IF(L39&lt;=60,"M",IF(L39&lt;=120,"L","XL")))))</f>
        <v>XS</v>
      </c>
    </row>
    <row r="40" customFormat="false" ht="75" hidden="false" customHeight="true" outlineLevel="0" collapsed="false">
      <c r="A40" s="8" t="n">
        <v>24</v>
      </c>
      <c r="B40" s="9" t="s">
        <v>136</v>
      </c>
      <c r="C40" s="8" t="s">
        <v>133</v>
      </c>
      <c r="D40" s="6" t="s">
        <v>137</v>
      </c>
      <c r="E40" s="16" t="s">
        <v>84</v>
      </c>
      <c r="F40" s="6" t="s">
        <v>138</v>
      </c>
      <c r="G40" s="11" t="s">
        <v>139</v>
      </c>
      <c r="H40" s="12" t="n">
        <v>24</v>
      </c>
      <c r="I40" s="12" t="n">
        <v>40</v>
      </c>
      <c r="J40" s="8" t="str">
        <f aca="false">IF(I40=0,"-",IF(I40&lt;=8,"XS",IF(I40&lt;=24,"S",IF(I40&lt;=60,"M",IF(I40&lt;=120,"L","XL")))))</f>
        <v>M</v>
      </c>
      <c r="K40" s="12" t="n">
        <v>16</v>
      </c>
      <c r="L40" s="12" t="n">
        <v>32</v>
      </c>
      <c r="M40" s="8" t="str">
        <f aca="false">IF(L40=0,"-",IF(L40&lt;=8,"XS",IF(L40&lt;=24,"S",IF(L40&lt;=60,"M",IF(L40&lt;=120,"L","XL")))))</f>
        <v>M</v>
      </c>
    </row>
    <row r="41" customFormat="false" ht="27" hidden="false" customHeight="true" outlineLevel="0" collapsed="false">
      <c r="A41" s="8" t="n">
        <v>25</v>
      </c>
      <c r="B41" s="9" t="s">
        <v>140</v>
      </c>
      <c r="C41" s="8" t="s">
        <v>133</v>
      </c>
      <c r="D41" s="6" t="s">
        <v>141</v>
      </c>
      <c r="E41" s="15" t="s">
        <v>54</v>
      </c>
      <c r="F41" s="6" t="s">
        <v>142</v>
      </c>
      <c r="G41" s="11" t="s">
        <v>143</v>
      </c>
      <c r="H41" s="12" t="n">
        <v>4</v>
      </c>
      <c r="I41" s="12" t="n">
        <v>8</v>
      </c>
      <c r="J41" s="8" t="str">
        <f aca="false">IF(I41=0,"-",IF(I41&lt;=8,"XS",IF(I41&lt;=24,"S",IF(I41&lt;=60,"M",IF(I41&lt;=120,"L","XL")))))</f>
        <v>XS</v>
      </c>
      <c r="K41" s="12" t="n">
        <v>4</v>
      </c>
      <c r="L41" s="12" t="n">
        <v>8</v>
      </c>
      <c r="M41" s="8" t="str">
        <f aca="false">IF(L41=0,"-",IF(L41&lt;=8,"XS",IF(L41&lt;=24,"S",IF(L41&lt;=60,"M",IF(L41&lt;=120,"L","XL")))))</f>
        <v>XS</v>
      </c>
    </row>
    <row r="42" customFormat="false" ht="51" hidden="false" customHeight="true" outlineLevel="0" collapsed="false">
      <c r="A42" s="8" t="n">
        <v>26</v>
      </c>
      <c r="B42" s="9" t="s">
        <v>144</v>
      </c>
      <c r="C42" s="8" t="s">
        <v>133</v>
      </c>
      <c r="D42" s="6" t="s">
        <v>145</v>
      </c>
      <c r="E42" s="16" t="s">
        <v>84</v>
      </c>
      <c r="F42" s="6" t="s">
        <v>146</v>
      </c>
      <c r="G42" s="11" t="s">
        <v>147</v>
      </c>
      <c r="H42" s="12" t="n">
        <v>16</v>
      </c>
      <c r="I42" s="12" t="n">
        <v>32</v>
      </c>
      <c r="J42" s="8" t="str">
        <f aca="false">IF(I42=0,"-",IF(I42&lt;=8,"XS",IF(I42&lt;=24,"S",IF(I42&lt;=60,"M",IF(I42&lt;=120,"L","XL")))))</f>
        <v>M</v>
      </c>
      <c r="K42" s="12" t="n">
        <v>24</v>
      </c>
      <c r="L42" s="12" t="n">
        <v>40</v>
      </c>
      <c r="M42" s="8" t="str">
        <f aca="false">IF(L42=0,"-",IF(L42&lt;=8,"XS",IF(L42&lt;=24,"S",IF(L42&lt;=60,"M",IF(L42&lt;=120,"L","XL")))))</f>
        <v>M</v>
      </c>
    </row>
    <row r="43" customFormat="false" ht="75" hidden="false" customHeight="true" outlineLevel="0" collapsed="false">
      <c r="A43" s="8" t="n">
        <v>27</v>
      </c>
      <c r="B43" s="9" t="s">
        <v>148</v>
      </c>
      <c r="C43" s="8" t="s">
        <v>133</v>
      </c>
      <c r="D43" s="6" t="s">
        <v>149</v>
      </c>
      <c r="E43" s="16" t="s">
        <v>84</v>
      </c>
      <c r="F43" s="6" t="s">
        <v>150</v>
      </c>
      <c r="G43" s="11" t="s">
        <v>151</v>
      </c>
      <c r="H43" s="12" t="n">
        <v>16</v>
      </c>
      <c r="I43" s="12" t="n">
        <v>24</v>
      </c>
      <c r="J43" s="8" t="str">
        <f aca="false">IF(I43=0,"-",IF(I43&lt;=8,"XS",IF(I43&lt;=24,"S",IF(I43&lt;=60,"M",IF(I43&lt;=120,"L","XL")))))</f>
        <v>S</v>
      </c>
      <c r="K43" s="12" t="n">
        <v>16</v>
      </c>
      <c r="L43" s="12" t="n">
        <v>24</v>
      </c>
      <c r="M43" s="8" t="str">
        <f aca="false">IF(L43=0,"-",IF(L43&lt;=8,"XS",IF(L43&lt;=24,"S",IF(L43&lt;=60,"M",IF(L43&lt;=120,"L","XL")))))</f>
        <v>S</v>
      </c>
    </row>
    <row r="44" customFormat="false" ht="15" hidden="false" customHeight="false" outlineLevel="0" collapsed="false">
      <c r="A44" s="18" t="s">
        <v>152</v>
      </c>
      <c r="B44" s="18"/>
      <c r="C44" s="18"/>
      <c r="D44" s="18"/>
      <c r="E44" s="18"/>
      <c r="F44" s="18"/>
      <c r="G44" s="18"/>
      <c r="H44" s="18"/>
      <c r="I44" s="18"/>
      <c r="J44" s="18"/>
      <c r="K44" s="18"/>
      <c r="L44" s="18"/>
      <c r="M44" s="18"/>
    </row>
    <row r="46" customFormat="false" ht="19.5" hidden="false" customHeight="true" outlineLevel="0" collapsed="false">
      <c r="A46" s="3" t="s">
        <v>153</v>
      </c>
      <c r="B46" s="3"/>
      <c r="C46" s="3"/>
      <c r="D46" s="3"/>
      <c r="E46" s="3"/>
      <c r="F46" s="3"/>
      <c r="G46" s="3"/>
      <c r="H46" s="3"/>
      <c r="I46" s="3"/>
      <c r="J46" s="3"/>
      <c r="K46" s="3"/>
      <c r="L46" s="3"/>
      <c r="M46" s="3"/>
    </row>
    <row r="47" customFormat="false" ht="25.5" hidden="false" customHeight="true" outlineLevel="0" collapsed="false">
      <c r="A47" s="4" t="s">
        <v>23</v>
      </c>
      <c r="B47" s="4" t="s">
        <v>154</v>
      </c>
      <c r="C47" s="4"/>
      <c r="D47" s="4"/>
      <c r="E47" s="4"/>
      <c r="F47" s="4" t="s">
        <v>155</v>
      </c>
      <c r="G47" s="4"/>
      <c r="H47" s="4" t="s">
        <v>30</v>
      </c>
      <c r="I47" s="4" t="s">
        <v>31</v>
      </c>
      <c r="J47" s="4" t="s">
        <v>32</v>
      </c>
      <c r="K47" s="4" t="s">
        <v>33</v>
      </c>
      <c r="L47" s="4" t="s">
        <v>34</v>
      </c>
      <c r="M47" s="4" t="s">
        <v>35</v>
      </c>
    </row>
    <row r="48" customFormat="false" ht="15" hidden="false" customHeight="true" outlineLevel="0" collapsed="false">
      <c r="A48" s="8" t="n">
        <v>1</v>
      </c>
      <c r="B48" s="9" t="s">
        <v>156</v>
      </c>
      <c r="C48" s="9"/>
      <c r="D48" s="9"/>
      <c r="E48" s="9"/>
      <c r="F48" s="6" t="s">
        <v>157</v>
      </c>
      <c r="G48" s="6"/>
      <c r="H48" s="12" t="n">
        <v>16</v>
      </c>
      <c r="I48" s="12" t="n">
        <v>24</v>
      </c>
      <c r="J48" s="8" t="str">
        <f aca="false">IF(I48=0,"-",IF(I48&lt;=8,"XS",IF(I48&lt;=24,"S",IF(I48&lt;=60,"M",IF(I48&lt;=120,"L","XL")))))</f>
        <v>S</v>
      </c>
      <c r="K48" s="12" t="n">
        <v>0</v>
      </c>
      <c r="L48" s="12" t="n">
        <v>0</v>
      </c>
      <c r="M48" s="8" t="str">
        <f aca="false">IF(L48=0,"-",IF(L48&lt;=8,"XS",IF(L48&lt;=24,"S",IF(L48&lt;=60,"M",IF(L48&lt;=120,"L","XL")))))</f>
        <v>-</v>
      </c>
    </row>
    <row r="49" customFormat="false" ht="27" hidden="false" customHeight="true" outlineLevel="0" collapsed="false">
      <c r="A49" s="8" t="n">
        <v>2</v>
      </c>
      <c r="B49" s="9" t="s">
        <v>158</v>
      </c>
      <c r="C49" s="9"/>
      <c r="D49" s="9"/>
      <c r="E49" s="9"/>
      <c r="F49" s="6" t="s">
        <v>159</v>
      </c>
      <c r="G49" s="6"/>
      <c r="H49" s="12" t="n">
        <v>8</v>
      </c>
      <c r="I49" s="12" t="n">
        <v>16</v>
      </c>
      <c r="J49" s="8" t="str">
        <f aca="false">IF(I49=0,"-",IF(I49&lt;=8,"XS",IF(I49&lt;=24,"S",IF(I49&lt;=60,"M",IF(I49&lt;=120,"L","XL")))))</f>
        <v>S</v>
      </c>
      <c r="K49" s="12" t="n">
        <v>0</v>
      </c>
      <c r="L49" s="12" t="n">
        <v>0</v>
      </c>
      <c r="M49" s="8" t="str">
        <f aca="false">IF(L49=0,"-",IF(L49&lt;=8,"XS",IF(L49&lt;=24,"S",IF(L49&lt;=60,"M",IF(L49&lt;=120,"L","XL")))))</f>
        <v>-</v>
      </c>
    </row>
    <row r="50" customFormat="false" ht="15" hidden="false" customHeight="true" outlineLevel="0" collapsed="false">
      <c r="A50" s="8" t="n">
        <v>3</v>
      </c>
      <c r="B50" s="9" t="s">
        <v>160</v>
      </c>
      <c r="C50" s="9"/>
      <c r="D50" s="9"/>
      <c r="E50" s="9"/>
      <c r="F50" s="6" t="s">
        <v>161</v>
      </c>
      <c r="G50" s="6"/>
      <c r="H50" s="12" t="n">
        <v>8</v>
      </c>
      <c r="I50" s="12" t="n">
        <v>16</v>
      </c>
      <c r="J50" s="8" t="str">
        <f aca="false">IF(I50=0,"-",IF(I50&lt;=8,"XS",IF(I50&lt;=24,"S",IF(I50&lt;=60,"M",IF(I50&lt;=120,"L","XL")))))</f>
        <v>S</v>
      </c>
      <c r="K50" s="12" t="n">
        <v>0</v>
      </c>
      <c r="L50" s="12" t="n">
        <v>0</v>
      </c>
      <c r="M50" s="8" t="str">
        <f aca="false">IF(L50=0,"-",IF(L50&lt;=8,"XS",IF(L50&lt;=24,"S",IF(L50&lt;=60,"M",IF(L50&lt;=120,"L","XL")))))</f>
        <v>-</v>
      </c>
    </row>
    <row r="51" customFormat="false" ht="15" hidden="false" customHeight="true" outlineLevel="0" collapsed="false">
      <c r="A51" s="8" t="n">
        <v>4</v>
      </c>
      <c r="B51" s="9" t="s">
        <v>162</v>
      </c>
      <c r="C51" s="9"/>
      <c r="D51" s="9"/>
      <c r="E51" s="9"/>
      <c r="F51" s="6" t="s">
        <v>163</v>
      </c>
      <c r="G51" s="6"/>
      <c r="H51" s="12" t="n">
        <v>8</v>
      </c>
      <c r="I51" s="12" t="n">
        <v>16</v>
      </c>
      <c r="J51" s="8" t="str">
        <f aca="false">IF(I51=0,"-",IF(I51&lt;=8,"XS",IF(I51&lt;=24,"S",IF(I51&lt;=60,"M",IF(I51&lt;=120,"L","XL")))))</f>
        <v>S</v>
      </c>
      <c r="K51" s="12" t="n">
        <v>0</v>
      </c>
      <c r="L51" s="12" t="n">
        <v>0</v>
      </c>
      <c r="M51" s="8" t="str">
        <f aca="false">IF(L51=0,"-",IF(L51&lt;=8,"XS",IF(L51&lt;=24,"S",IF(L51&lt;=60,"M",IF(L51&lt;=120,"L","XL")))))</f>
        <v>-</v>
      </c>
    </row>
    <row r="52" customFormat="false" ht="15" hidden="false" customHeight="true" outlineLevel="0" collapsed="false">
      <c r="A52" s="8" t="n">
        <v>5</v>
      </c>
      <c r="B52" s="9" t="s">
        <v>164</v>
      </c>
      <c r="C52" s="9"/>
      <c r="D52" s="9"/>
      <c r="E52" s="9"/>
      <c r="F52" s="6" t="s">
        <v>165</v>
      </c>
      <c r="G52" s="6"/>
      <c r="H52" s="12" t="n">
        <v>24</v>
      </c>
      <c r="I52" s="12" t="n">
        <v>40</v>
      </c>
      <c r="J52" s="8" t="str">
        <f aca="false">IF(I52=0,"-",IF(I52&lt;=8,"XS",IF(I52&lt;=24,"S",IF(I52&lt;=60,"M",IF(I52&lt;=120,"L","XL")))))</f>
        <v>M</v>
      </c>
      <c r="K52" s="12" t="n">
        <v>0</v>
      </c>
      <c r="L52" s="12" t="n">
        <v>0</v>
      </c>
      <c r="M52" s="8" t="str">
        <f aca="false">IF(L52=0,"-",IF(L52&lt;=8,"XS",IF(L52&lt;=24,"S",IF(L52&lt;=60,"M",IF(L52&lt;=120,"L","XL")))))</f>
        <v>-</v>
      </c>
    </row>
    <row r="53" customFormat="false" ht="15" hidden="false" customHeight="true" outlineLevel="0" collapsed="false">
      <c r="A53" s="8" t="n">
        <v>6</v>
      </c>
      <c r="B53" s="9" t="s">
        <v>166</v>
      </c>
      <c r="C53" s="9"/>
      <c r="D53" s="9"/>
      <c r="E53" s="9"/>
      <c r="F53" s="6" t="s">
        <v>167</v>
      </c>
      <c r="G53" s="6"/>
      <c r="H53" s="12" t="n">
        <v>16</v>
      </c>
      <c r="I53" s="12" t="n">
        <v>32</v>
      </c>
      <c r="J53" s="8" t="str">
        <f aca="false">IF(I53=0,"-",IF(I53&lt;=8,"XS",IF(I53&lt;=24,"S",IF(I53&lt;=60,"M",IF(I53&lt;=120,"L","XL")))))</f>
        <v>M</v>
      </c>
      <c r="K53" s="12" t="n">
        <v>0</v>
      </c>
      <c r="L53" s="12" t="n">
        <v>0</v>
      </c>
      <c r="M53" s="8" t="str">
        <f aca="false">IF(L53=0,"-",IF(L53&lt;=8,"XS",IF(L53&lt;=24,"S",IF(L53&lt;=60,"M",IF(L53&lt;=120,"L","XL")))))</f>
        <v>-</v>
      </c>
    </row>
    <row r="54" customFormat="false" ht="15" hidden="false" customHeight="true" outlineLevel="0" collapsed="false">
      <c r="A54" s="8" t="n">
        <v>7</v>
      </c>
      <c r="B54" s="9" t="s">
        <v>168</v>
      </c>
      <c r="C54" s="9"/>
      <c r="D54" s="9"/>
      <c r="E54" s="9"/>
      <c r="F54" s="6" t="s">
        <v>169</v>
      </c>
      <c r="G54" s="6"/>
      <c r="H54" s="12" t="n">
        <v>8</v>
      </c>
      <c r="I54" s="12" t="n">
        <v>16</v>
      </c>
      <c r="J54" s="8" t="str">
        <f aca="false">IF(I54=0,"-",IF(I54&lt;=8,"XS",IF(I54&lt;=24,"S",IF(I54&lt;=60,"M",IF(I54&lt;=120,"L","XL")))))</f>
        <v>S</v>
      </c>
      <c r="K54" s="12" t="n">
        <v>0</v>
      </c>
      <c r="L54" s="12" t="n">
        <v>0</v>
      </c>
      <c r="M54" s="8" t="str">
        <f aca="false">IF(L54=0,"-",IF(L54&lt;=8,"XS",IF(L54&lt;=24,"S",IF(L54&lt;=60,"M",IF(L54&lt;=120,"L","XL")))))</f>
        <v>-</v>
      </c>
    </row>
    <row r="55" customFormat="false" ht="15" hidden="false" customHeight="true" outlineLevel="0" collapsed="false">
      <c r="A55" s="8" t="n">
        <v>8</v>
      </c>
      <c r="B55" s="9" t="s">
        <v>170</v>
      </c>
      <c r="C55" s="9"/>
      <c r="D55" s="9"/>
      <c r="E55" s="9"/>
      <c r="F55" s="6" t="s">
        <v>171</v>
      </c>
      <c r="G55" s="6"/>
      <c r="H55" s="12" t="n">
        <v>0</v>
      </c>
      <c r="I55" s="12" t="n">
        <v>0</v>
      </c>
      <c r="J55" s="8" t="str">
        <f aca="false">IF(I55=0,"-",IF(I55&lt;=8,"XS",IF(I55&lt;=24,"S",IF(I55&lt;=60,"M",IF(I55&lt;=120,"L","XL")))))</f>
        <v>-</v>
      </c>
      <c r="K55" s="12" t="n">
        <v>24</v>
      </c>
      <c r="L55" s="12" t="n">
        <v>40</v>
      </c>
      <c r="M55" s="8" t="str">
        <f aca="false">IF(L55=0,"-",IF(L55&lt;=8,"XS",IF(L55&lt;=24,"S",IF(L55&lt;=60,"M",IF(L55&lt;=120,"L","XL")))))</f>
        <v>M</v>
      </c>
    </row>
    <row r="57" customFormat="false" ht="19.5" hidden="false" customHeight="true" outlineLevel="0" collapsed="false">
      <c r="A57" s="3" t="s">
        <v>172</v>
      </c>
      <c r="B57" s="3"/>
      <c r="C57" s="3"/>
      <c r="D57" s="3"/>
      <c r="E57" s="3"/>
      <c r="F57" s="3"/>
      <c r="G57" s="3"/>
      <c r="H57" s="3"/>
      <c r="I57" s="3"/>
      <c r="J57" s="3"/>
      <c r="K57" s="3"/>
      <c r="L57" s="3"/>
      <c r="M57" s="3"/>
    </row>
    <row r="58" customFormat="false" ht="25.5" hidden="false" customHeight="true" outlineLevel="0" collapsed="false">
      <c r="A58" s="19" t="s">
        <v>173</v>
      </c>
      <c r="B58" s="19"/>
      <c r="C58" s="19"/>
      <c r="D58" s="19"/>
      <c r="E58" s="19"/>
      <c r="F58" s="19"/>
      <c r="G58" s="19"/>
      <c r="H58" s="4" t="s">
        <v>174</v>
      </c>
      <c r="I58" s="4" t="s">
        <v>175</v>
      </c>
      <c r="J58" s="4"/>
      <c r="K58" s="4" t="s">
        <v>176</v>
      </c>
      <c r="L58" s="4" t="s">
        <v>177</v>
      </c>
      <c r="M58" s="4"/>
    </row>
    <row r="59" customFormat="false" ht="15" hidden="false" customHeight="true" outlineLevel="0" collapsed="false">
      <c r="A59" s="6" t="s">
        <v>178</v>
      </c>
      <c r="B59" s="6"/>
      <c r="C59" s="6"/>
      <c r="D59" s="6"/>
      <c r="E59" s="6"/>
      <c r="F59" s="6"/>
      <c r="G59" s="6"/>
      <c r="H59" s="20" t="n">
        <f aca="false">SUM(H48:H55)</f>
        <v>88</v>
      </c>
      <c r="I59" s="20" t="n">
        <f aca="false">SUM(I48:I55)</f>
        <v>160</v>
      </c>
      <c r="J59" s="8"/>
      <c r="K59" s="20" t="n">
        <f aca="false">SUM(K48:K55)</f>
        <v>24</v>
      </c>
      <c r="L59" s="20" t="n">
        <f aca="false">SUM(L48:L55)</f>
        <v>40</v>
      </c>
      <c r="M59" s="8"/>
    </row>
    <row r="60" customFormat="false" ht="15" hidden="false" customHeight="true" outlineLevel="0" collapsed="false">
      <c r="A60" s="6" t="s">
        <v>179</v>
      </c>
      <c r="B60" s="6"/>
      <c r="C60" s="6"/>
      <c r="D60" s="6"/>
      <c r="E60" s="6"/>
      <c r="F60" s="6"/>
      <c r="G60" s="6"/>
      <c r="H60" s="20" t="n">
        <f aca="false">SUMIF(E17:E43,"&lt;&gt;Decision needed",H17:H43)</f>
        <v>388</v>
      </c>
      <c r="I60" s="20" t="n">
        <f aca="false">SUMIF(E17:E43,"&lt;&gt;Decision needed",I17:I43)</f>
        <v>688</v>
      </c>
      <c r="J60" s="8"/>
      <c r="K60" s="20" t="n">
        <f aca="false">SUMIF(E17:E43,"&lt;&gt;Decision needed",K17:K43)</f>
        <v>398</v>
      </c>
      <c r="L60" s="20" t="n">
        <f aca="false">SUMIF(E17:E43,"&lt;&gt;Decision needed",L17:L43)</f>
        <v>720</v>
      </c>
      <c r="M60" s="8"/>
    </row>
    <row r="61" customFormat="false" ht="15" hidden="false" customHeight="true" outlineLevel="0" collapsed="false">
      <c r="A61" s="21" t="s">
        <v>180</v>
      </c>
      <c r="B61" s="21"/>
      <c r="C61" s="21"/>
      <c r="D61" s="21"/>
      <c r="E61" s="21"/>
      <c r="F61" s="21"/>
      <c r="G61" s="21"/>
      <c r="H61" s="22" t="n">
        <f aca="false">H59+H60</f>
        <v>476</v>
      </c>
      <c r="I61" s="22" t="n">
        <f aca="false">I59+I60</f>
        <v>848</v>
      </c>
      <c r="J61" s="23"/>
      <c r="K61" s="22" t="n">
        <f aca="false">K59+K60</f>
        <v>422</v>
      </c>
      <c r="L61" s="22" t="n">
        <f aca="false">L59+L60</f>
        <v>760</v>
      </c>
      <c r="M61" s="23"/>
    </row>
    <row r="62" customFormat="false" ht="15" hidden="false" customHeight="true" outlineLevel="0" collapsed="false">
      <c r="A62" s="6" t="s">
        <v>181</v>
      </c>
      <c r="B62" s="6"/>
      <c r="C62" s="6"/>
      <c r="D62" s="6"/>
      <c r="E62" s="6"/>
      <c r="F62" s="6"/>
      <c r="G62" s="6"/>
      <c r="H62" s="20" t="n">
        <f aca="false">SUMIF(E17:E43,"Decision needed",H17:H43)</f>
        <v>120</v>
      </c>
      <c r="I62" s="20" t="n">
        <f aca="false">SUMIF(E17:E43,"Decision needed",I17:I43)</f>
        <v>200</v>
      </c>
      <c r="J62" s="8"/>
      <c r="K62" s="20" t="n">
        <f aca="false">SUMIF(E17:E43,"Decision needed",K17:K43)</f>
        <v>80</v>
      </c>
      <c r="L62" s="20" t="n">
        <f aca="false">SUMIF(E17:E43,"Decision needed",L17:L43)</f>
        <v>120</v>
      </c>
      <c r="M62" s="8"/>
    </row>
    <row r="63" customFormat="false" ht="15" hidden="false" customHeight="true" outlineLevel="0" collapsed="false">
      <c r="A63" s="21" t="s">
        <v>182</v>
      </c>
      <c r="B63" s="21"/>
      <c r="C63" s="21"/>
      <c r="D63" s="21"/>
      <c r="E63" s="21"/>
      <c r="F63" s="21"/>
      <c r="G63" s="21"/>
      <c r="H63" s="22" t="n">
        <f aca="false">H61+H62</f>
        <v>596</v>
      </c>
      <c r="I63" s="22" t="n">
        <f aca="false">I61+I62</f>
        <v>1048</v>
      </c>
      <c r="J63" s="23"/>
      <c r="K63" s="22" t="n">
        <f aca="false">K61+K62</f>
        <v>502</v>
      </c>
      <c r="L63" s="22" t="n">
        <f aca="false">L61+L62</f>
        <v>880</v>
      </c>
      <c r="M63" s="23"/>
    </row>
    <row r="64" customFormat="false" ht="18" hidden="false" customHeight="true" outlineLevel="0" collapsed="false">
      <c r="A64" s="24" t="str">
        <f aca="false">"Grand total excluding PKI: "&amp;TEXT(H61+K61,"#,##0")&amp;"-"&amp;TEXT(I61+L61,"#,##0")&amp;" hrs (about "&amp;ROUND((H61+K61)/8,0)&amp;"-"&amp;ROUND((I61+L61)/8,0)&amp;" person-days).   Including PKI placeholder: "&amp;TEXT(H63+K63,"#,##0")&amp;"-"&amp;TEXT(I63+L63,"#,##0")&amp;" hrs."</f>
        <v>Grand total excluding PKI: 898-1,608 hrs (about 112-201 person-days).   Including PKI placeholder: 1,098-1,928 hrs.</v>
      </c>
      <c r="B64" s="24"/>
      <c r="C64" s="24"/>
      <c r="D64" s="24"/>
      <c r="E64" s="24"/>
      <c r="F64" s="24"/>
      <c r="G64" s="24"/>
      <c r="H64" s="24"/>
      <c r="I64" s="24"/>
      <c r="J64" s="24"/>
      <c r="K64" s="24"/>
      <c r="L64" s="24"/>
      <c r="M64" s="24"/>
    </row>
    <row r="66" customFormat="false" ht="19.5" hidden="false" customHeight="true" outlineLevel="0" collapsed="false">
      <c r="A66" s="3" t="s">
        <v>183</v>
      </c>
      <c r="B66" s="3"/>
      <c r="C66" s="3"/>
      <c r="D66" s="3"/>
      <c r="E66" s="3"/>
      <c r="F66" s="3"/>
      <c r="G66" s="3"/>
      <c r="H66" s="3"/>
      <c r="I66" s="3"/>
      <c r="J66" s="3"/>
      <c r="K66" s="3"/>
      <c r="L66" s="3"/>
      <c r="M66" s="3"/>
    </row>
    <row r="67" customFormat="false" ht="27" hidden="false" customHeight="true" outlineLevel="0" collapsed="false">
      <c r="A67" s="9" t="s">
        <v>184</v>
      </c>
      <c r="B67" s="9"/>
      <c r="C67" s="9"/>
      <c r="D67" s="9"/>
      <c r="E67" s="6" t="s">
        <v>185</v>
      </c>
      <c r="F67" s="6"/>
      <c r="G67" s="6"/>
      <c r="H67" s="6"/>
      <c r="I67" s="6"/>
      <c r="J67" s="6"/>
      <c r="K67" s="6"/>
      <c r="L67" s="6"/>
      <c r="M67" s="6"/>
    </row>
    <row r="68" customFormat="false" ht="27" hidden="false" customHeight="true" outlineLevel="0" collapsed="false">
      <c r="A68" s="9" t="s">
        <v>186</v>
      </c>
      <c r="B68" s="9"/>
      <c r="C68" s="9"/>
      <c r="D68" s="9"/>
      <c r="E68" s="6" t="s">
        <v>187</v>
      </c>
      <c r="F68" s="6"/>
      <c r="G68" s="6"/>
      <c r="H68" s="6"/>
      <c r="I68" s="6"/>
      <c r="J68" s="6"/>
      <c r="K68" s="6"/>
      <c r="L68" s="6"/>
      <c r="M68" s="6"/>
    </row>
    <row r="69" customFormat="false" ht="27" hidden="false" customHeight="true" outlineLevel="0" collapsed="false">
      <c r="A69" s="9" t="s">
        <v>188</v>
      </c>
      <c r="B69" s="9"/>
      <c r="C69" s="9"/>
      <c r="D69" s="9"/>
      <c r="E69" s="6" t="s">
        <v>189</v>
      </c>
      <c r="F69" s="6"/>
      <c r="G69" s="6"/>
      <c r="H69" s="6"/>
      <c r="I69" s="6"/>
      <c r="J69" s="6"/>
      <c r="K69" s="6"/>
      <c r="L69" s="6"/>
      <c r="M69" s="6"/>
    </row>
    <row r="70" customFormat="false" ht="15" hidden="false" customHeight="true" outlineLevel="0" collapsed="false">
      <c r="A70" s="9" t="s">
        <v>190</v>
      </c>
      <c r="B70" s="9"/>
      <c r="C70" s="9"/>
      <c r="D70" s="9"/>
      <c r="E70" s="6" t="s">
        <v>191</v>
      </c>
      <c r="F70" s="6"/>
      <c r="G70" s="6"/>
      <c r="H70" s="6"/>
      <c r="I70" s="6"/>
      <c r="J70" s="6"/>
      <c r="K70" s="6"/>
      <c r="L70" s="6"/>
      <c r="M70" s="6"/>
    </row>
    <row r="71" customFormat="false" ht="15" hidden="false" customHeight="true" outlineLevel="0" collapsed="false">
      <c r="A71" s="9" t="s">
        <v>192</v>
      </c>
      <c r="B71" s="9"/>
      <c r="C71" s="9"/>
      <c r="D71" s="9"/>
      <c r="E71" s="6" t="s">
        <v>193</v>
      </c>
      <c r="F71" s="6"/>
      <c r="G71" s="6"/>
      <c r="H71" s="6"/>
      <c r="I71" s="6"/>
      <c r="J71" s="6"/>
      <c r="K71" s="6"/>
      <c r="L71" s="6"/>
      <c r="M71" s="6"/>
    </row>
    <row r="72" customFormat="false" ht="15" hidden="false" customHeight="true" outlineLevel="0" collapsed="false">
      <c r="A72" s="9" t="s">
        <v>194</v>
      </c>
      <c r="B72" s="9"/>
      <c r="C72" s="9"/>
      <c r="D72" s="9"/>
      <c r="E72" s="6" t="s">
        <v>195</v>
      </c>
      <c r="F72" s="6"/>
      <c r="G72" s="6"/>
      <c r="H72" s="6"/>
      <c r="I72" s="6"/>
      <c r="J72" s="6"/>
      <c r="K72" s="6"/>
      <c r="L72" s="6"/>
      <c r="M72" s="6"/>
    </row>
    <row r="74" customFormat="false" ht="24" hidden="false" customHeight="true" outlineLevel="0" collapsed="false">
      <c r="A74" s="25" t="s">
        <v>196</v>
      </c>
      <c r="B74" s="25"/>
      <c r="C74" s="25"/>
      <c r="D74" s="25"/>
      <c r="E74" s="25"/>
      <c r="F74" s="25"/>
      <c r="G74" s="25"/>
      <c r="H74" s="25"/>
      <c r="I74" s="25"/>
      <c r="J74" s="25"/>
      <c r="K74" s="25"/>
      <c r="L74" s="25"/>
      <c r="M74" s="25"/>
    </row>
  </sheetData>
  <mergeCells count="66">
    <mergeCell ref="A1:M1"/>
    <mergeCell ref="A2:M2"/>
    <mergeCell ref="A4:M4"/>
    <mergeCell ref="A5:C5"/>
    <mergeCell ref="D5:E5"/>
    <mergeCell ref="F5:M5"/>
    <mergeCell ref="A6:C6"/>
    <mergeCell ref="D6:E6"/>
    <mergeCell ref="F6:M6"/>
    <mergeCell ref="A7:C7"/>
    <mergeCell ref="D7:E7"/>
    <mergeCell ref="F7:M7"/>
    <mergeCell ref="A8:C8"/>
    <mergeCell ref="D8:E8"/>
    <mergeCell ref="F8:M8"/>
    <mergeCell ref="A9:C9"/>
    <mergeCell ref="D9:E9"/>
    <mergeCell ref="F9:M9"/>
    <mergeCell ref="A10:C10"/>
    <mergeCell ref="D10:E10"/>
    <mergeCell ref="F10:M10"/>
    <mergeCell ref="A12:M12"/>
    <mergeCell ref="A13:M13"/>
    <mergeCell ref="A15:M15"/>
    <mergeCell ref="A44:M44"/>
    <mergeCell ref="A46:M46"/>
    <mergeCell ref="B47:E47"/>
    <mergeCell ref="F47:G47"/>
    <mergeCell ref="B48:E48"/>
    <mergeCell ref="F48:G48"/>
    <mergeCell ref="B49:E49"/>
    <mergeCell ref="F49:G49"/>
    <mergeCell ref="B50:E50"/>
    <mergeCell ref="F50:G50"/>
    <mergeCell ref="B51:E51"/>
    <mergeCell ref="F51:G51"/>
    <mergeCell ref="B52:E52"/>
    <mergeCell ref="F52:G52"/>
    <mergeCell ref="B53:E53"/>
    <mergeCell ref="F53:G53"/>
    <mergeCell ref="B54:E54"/>
    <mergeCell ref="F54:G54"/>
    <mergeCell ref="B55:E55"/>
    <mergeCell ref="F55:G55"/>
    <mergeCell ref="A57:M57"/>
    <mergeCell ref="A58:G58"/>
    <mergeCell ref="A59:G59"/>
    <mergeCell ref="A60:G60"/>
    <mergeCell ref="A61:G61"/>
    <mergeCell ref="A62:G62"/>
    <mergeCell ref="A63:G63"/>
    <mergeCell ref="A64:M64"/>
    <mergeCell ref="A66:M66"/>
    <mergeCell ref="A67:D67"/>
    <mergeCell ref="E67:M67"/>
    <mergeCell ref="A68:D68"/>
    <mergeCell ref="E68:M68"/>
    <mergeCell ref="A69:D69"/>
    <mergeCell ref="E69:M69"/>
    <mergeCell ref="A70:D70"/>
    <mergeCell ref="E70:M70"/>
    <mergeCell ref="A71:D71"/>
    <mergeCell ref="E71:M71"/>
    <mergeCell ref="A72:D72"/>
    <mergeCell ref="E72:M72"/>
    <mergeCell ref="A74:M74"/>
  </mergeCells>
  <printOptions headings="false" gridLines="false" gridLinesSet="true" horizontalCentered="true" verticalCentered="false"/>
  <pageMargins left="0.3" right="0.3" top="0.4" bottom="0.4"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2026-10-22T08:01:09Z</dcterms:created>
  <dc:creator>openpyxl</dc:creator>
  <dc:description/>
  <dc:language>en-US</dc:language>
  <cp:lastModifiedBy/>
  <dcterms:modified xsi:type="dcterms:W3CDTF">2026-10-22T08:01:09Z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